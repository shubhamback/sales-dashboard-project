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A91793B4-6B26-4617-8159-410313886014}" xr6:coauthVersionLast="47" xr6:coauthVersionMax="47" xr10:uidLastSave="{00000000-0000-0000-0000-000000000000}"/>
  <bookViews>
    <workbookView xWindow="-108" yWindow="-108" windowWidth="23256" windowHeight="12576" activeTab="2" xr2:uid="{00000000-000D-0000-FFFF-FFFF00000000}"/>
  </bookViews>
  <sheets>
    <sheet name="SALE_TABLE" sheetId="7" r:id="rId1"/>
    <sheet name="Pivot Table" sheetId="12" r:id="rId2"/>
    <sheet name="DASHBOARD" sheetId="6" r:id="rId3"/>
  </sheets>
  <definedNames>
    <definedName name="ExternalData_2" localSheetId="0" hidden="1">SALE_TABLE!$A$1:$L$1050</definedName>
    <definedName name="Slicer_Category">#N/A</definedName>
    <definedName name="Slicer_Order_Dat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12" l="1"/>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3" i="7"/>
  <c r="L4" i="7"/>
  <c r="L5" i="7"/>
  <c r="L6" i="7"/>
  <c r="L7" i="7"/>
  <c r="L8" i="7"/>
  <c r="L9" i="7"/>
  <c r="L10" i="7"/>
  <c r="L11" i="7"/>
  <c r="L12" i="7"/>
  <c r="L13" i="7"/>
  <c r="L14" i="7"/>
  <c r="L15" i="7"/>
  <c r="L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2" i="7"/>
  <c r="H3" i="12"/>
  <c r="H5" i="12"/>
  <c r="H2" i="12"/>
  <c r="H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E6EAB2-0F7E-4801-A1B9-36886CA161B9}" keepAlive="1" name="Query - SALE_TABLE" description="Connection to the 'SALE_TABLE' query in the workbook." type="5" refreshedVersion="7" background="1" saveData="1">
    <dbPr connection="Provider=Microsoft.Mashup.OleDb.1;Data Source=$Workbook$;Location=SALE_TABLE;Extended Properties=&quot;&quot;" command="SELECT * FROM [SALE_TABLE]"/>
  </connection>
</connections>
</file>

<file path=xl/sharedStrings.xml><?xml version="1.0" encoding="utf-8"?>
<sst xmlns="http://schemas.openxmlformats.org/spreadsheetml/2006/main" count="5319" uniqueCount="1098">
  <si>
    <t>Order ID</t>
  </si>
  <si>
    <t>Order Date</t>
  </si>
  <si>
    <t>Region</t>
  </si>
  <si>
    <t>Sales Person</t>
  </si>
  <si>
    <t>Category</t>
  </si>
  <si>
    <t>Product</t>
  </si>
  <si>
    <t>Quantity</t>
  </si>
  <si>
    <t>Cost Price</t>
  </si>
  <si>
    <t>Selling Price</t>
  </si>
  <si>
    <t>Total Cost</t>
  </si>
  <si>
    <t>Total Sales</t>
  </si>
  <si>
    <t>Profit</t>
  </si>
  <si>
    <t>East</t>
  </si>
  <si>
    <t>Sneha</t>
  </si>
  <si>
    <t>Accessories</t>
  </si>
  <si>
    <t>Keyboard</t>
  </si>
  <si>
    <t>North</t>
  </si>
  <si>
    <t>Neha</t>
  </si>
  <si>
    <t>Electronics</t>
  </si>
  <si>
    <t>Phone</t>
  </si>
  <si>
    <t>Headphones</t>
  </si>
  <si>
    <t>Karan</t>
  </si>
  <si>
    <t>Mouse</t>
  </si>
  <si>
    <t>West</t>
  </si>
  <si>
    <t>Rohit</t>
  </si>
  <si>
    <t>Tablet</t>
  </si>
  <si>
    <t>South</t>
  </si>
  <si>
    <t>Priya</t>
  </si>
  <si>
    <t>Laptop</t>
  </si>
  <si>
    <t>Aman</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</si>
  <si>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</si>
  <si>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</si>
  <si>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</si>
  <si>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</si>
  <si>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</si>
  <si>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</si>
  <si>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</si>
  <si>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</si>
  <si>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</si>
  <si>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</si>
  <si>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</si>
  <si>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</si>
  <si>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</si>
  <si>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</si>
  <si>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</si>
  <si>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</si>
  <si>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</si>
  <si>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</si>
  <si>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</si>
  <si>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</si>
  <si>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</si>
  <si>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</si>
  <si>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</si>
  <si>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</si>
  <si>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</si>
  <si>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</si>
  <si>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</si>
  <si>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</si>
  <si>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</si>
  <si>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</si>
  <si>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</si>
  <si>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</si>
  <si>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</si>
  <si>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</si>
  <si>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</si>
  <si>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</si>
  <si>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</si>
  <si>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</si>
  <si>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</si>
  <si>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</si>
  <si>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</si>
  <si>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</si>
  <si>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</si>
  <si>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</si>
  <si>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</si>
  <si>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</si>
  <si>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</si>
  <si>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</si>
  <si>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</si>
  <si>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</si>
  <si>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</si>
  <si>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</si>
  <si>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</si>
  <si>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</si>
  <si>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</si>
  <si>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</si>
  <si>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</si>
  <si>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</si>
  <si>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</si>
  <si>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</si>
  <si>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</si>
  <si>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</si>
  <si>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</si>
  <si>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</si>
  <si>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</si>
  <si>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</si>
  <si>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</si>
  <si>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</si>
  <si>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</si>
  <si>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</si>
  <si>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</si>
  <si>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</si>
  <si>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</si>
  <si>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</si>
  <si>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</si>
  <si>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</si>
  <si>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</si>
  <si>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</si>
  <si>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</si>
  <si>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</si>
  <si>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</si>
  <si>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</si>
  <si>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</si>
  <si>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</si>
  <si>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</si>
  <si>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</si>
  <si>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</si>
  <si>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</si>
  <si>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</si>
  <si>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</si>
  <si>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</si>
  <si>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</si>
  <si>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</si>
  <si>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</si>
  <si>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</si>
  <si>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</si>
  <si>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</si>
  <si>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</si>
  <si>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</si>
  <si>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</si>
  <si>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</si>
  <si>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</si>
  <si>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</si>
  <si>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</si>
  <si>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</si>
  <si>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</si>
  <si>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</si>
  <si>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</si>
  <si>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</si>
  <si>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</si>
  <si>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</si>
  <si>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</si>
  <si>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</si>
  <si>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</si>
  <si>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</si>
  <si>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</si>
  <si>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</si>
  <si>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</si>
  <si>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</si>
  <si>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</si>
  <si>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</si>
  <si>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</si>
  <si>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</si>
  <si>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</si>
  <si>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</si>
  <si>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</si>
  <si>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</si>
  <si>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</si>
  <si>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</si>
  <si>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</si>
  <si>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</si>
  <si>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</si>
  <si>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</si>
  <si>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</si>
  <si>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</si>
  <si>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</si>
  <si>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</si>
  <si>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</si>
  <si>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</si>
  <si>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</si>
  <si>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</si>
  <si>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</si>
  <si>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</si>
  <si>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</si>
  <si>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</si>
  <si>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</si>
  <si>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</si>
  <si>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</si>
  <si>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</si>
  <si>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</si>
  <si>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</si>
  <si>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</si>
  <si>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</si>
  <si>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</si>
  <si>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</si>
  <si>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</si>
  <si>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</si>
  <si>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</si>
  <si>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</si>
  <si>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</si>
  <si>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</si>
  <si>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</si>
  <si>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</si>
  <si>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</si>
  <si>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</si>
  <si>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</si>
  <si>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</si>
  <si>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</si>
  <si>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</si>
  <si>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</si>
  <si>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</si>
  <si>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</si>
  <si>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</si>
  <si>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</si>
  <si>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</si>
  <si>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</si>
  <si>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</si>
  <si>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</si>
  <si>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</si>
  <si>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</si>
  <si>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</si>
  <si>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</si>
  <si>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</si>
  <si>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</si>
  <si>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</si>
  <si>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</si>
  <si>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</si>
  <si>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</si>
  <si>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</si>
  <si>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</si>
  <si>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</si>
  <si>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</si>
  <si>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</si>
  <si>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</si>
  <si>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</si>
  <si>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</si>
  <si>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</si>
  <si>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</si>
  <si>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</si>
  <si>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</si>
  <si>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Grand Total</t>
  </si>
  <si>
    <t>Sum of Total Sales</t>
  </si>
  <si>
    <t>Sum of Profit</t>
  </si>
  <si>
    <t>May</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</si>
  <si>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</si>
  <si>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</si>
  <si>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</si>
  <si>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</si>
  <si>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</si>
  <si>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</si>
  <si>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</si>
  <si>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</si>
  <si>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</si>
  <si>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</si>
  <si>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</si>
  <si>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</si>
  <si>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</si>
  <si>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</si>
  <si>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</si>
  <si>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</si>
  <si>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</si>
  <si>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</si>
  <si>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</si>
  <si>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</si>
  <si>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</si>
  <si>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</si>
  <si>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</si>
  <si>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</si>
  <si>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</si>
  <si>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</si>
  <si>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</si>
  <si>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</si>
  <si>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</si>
  <si>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</si>
  <si>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</si>
  <si>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</si>
  <si>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</si>
  <si>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</si>
  <si>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</si>
  <si>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</si>
  <si>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</si>
  <si>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</si>
  <si>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</si>
  <si>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</si>
  <si>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</si>
  <si>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</si>
  <si>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</si>
  <si>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</si>
  <si>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</si>
  <si>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</si>
  <si>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</si>
  <si>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</si>
  <si>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</si>
  <si>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</si>
  <si>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</si>
  <si>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</si>
  <si>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</si>
  <si>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</si>
  <si>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</si>
  <si>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</si>
  <si>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</si>
  <si>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</si>
  <si>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</si>
  <si>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</si>
  <si>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</si>
  <si>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</si>
  <si>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</si>
  <si>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</si>
  <si>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</si>
  <si>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</si>
  <si>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</si>
  <si>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</si>
  <si>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</si>
  <si>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</si>
  <si>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</si>
  <si>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</si>
  <si>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</si>
  <si>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</si>
  <si>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</si>
  <si>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</si>
  <si>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</si>
  <si>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</si>
  <si>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</si>
  <si>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</si>
  <si>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</si>
  <si>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</si>
  <si>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</si>
  <si>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</si>
  <si>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</si>
  <si>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</si>
  <si>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</si>
  <si>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</si>
  <si>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</si>
  <si>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</si>
  <si>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</si>
  <si>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</si>
  <si>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</si>
  <si>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</si>
  <si>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</si>
  <si>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</si>
  <si>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</si>
  <si>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</si>
  <si>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</si>
  <si>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</si>
  <si>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</si>
  <si>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</si>
  <si>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</si>
  <si>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</si>
  <si>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</si>
  <si>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</si>
  <si>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</si>
  <si>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</si>
  <si>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</si>
  <si>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</si>
  <si>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</si>
  <si>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</si>
  <si>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</si>
  <si>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</si>
  <si>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</si>
  <si>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</si>
  <si>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</si>
  <si>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</si>
  <si>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</si>
  <si>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</si>
  <si>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</si>
  <si>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</si>
  <si>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</si>
  <si>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</si>
  <si>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</si>
  <si>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</si>
  <si>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</si>
  <si>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</si>
  <si>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</si>
  <si>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</si>
  <si>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</si>
  <si>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</si>
  <si>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</si>
  <si>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</si>
  <si>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</si>
  <si>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</si>
  <si>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</si>
  <si>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</si>
  <si>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</si>
  <si>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</si>
  <si>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</si>
  <si>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</si>
  <si>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</si>
  <si>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</si>
  <si>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</si>
  <si>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</si>
  <si>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</si>
  <si>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</si>
  <si>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</si>
  <si>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</si>
  <si>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</si>
  <si>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</si>
  <si>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</si>
  <si>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</si>
  <si>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</si>
  <si>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</si>
  <si>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</si>
  <si>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</si>
  <si>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</si>
  <si>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</si>
  <si>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</si>
  <si>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</si>
  <si>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</si>
  <si>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</si>
  <si>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</si>
  <si>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</si>
  <si>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</si>
  <si>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</si>
  <si>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</si>
  <si>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</si>
  <si>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</si>
  <si>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</si>
  <si>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</si>
  <si>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</si>
  <si>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</si>
  <si>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</si>
  <si>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</si>
  <si>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</si>
  <si>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</si>
  <si>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</si>
  <si>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</si>
  <si>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</si>
  <si>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</si>
  <si>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</si>
  <si>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</si>
  <si>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</si>
  <si>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</si>
  <si>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</si>
  <si>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</si>
  <si>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</si>
  <si>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</si>
  <si>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</si>
  <si>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</si>
  <si>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</si>
  <si>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</si>
  <si>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</si>
  <si>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</si>
  <si>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</si>
  <si>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</si>
  <si>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</si>
  <si>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</si>
  <si>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</si>
  <si>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</si>
  <si>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</si>
  <si>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</si>
  <si>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</si>
  <si>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</si>
  <si>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</si>
  <si>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</si>
  <si>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</si>
  <si>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</si>
  <si>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</si>
  <si>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</si>
  <si>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</si>
  <si>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</si>
  <si>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</si>
  <si>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</si>
  <si>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</si>
  <si>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</si>
  <si>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</si>
  <si>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</si>
  <si>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</si>
  <si>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</si>
  <si>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</si>
  <si>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</si>
  <si>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</si>
  <si>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</si>
  <si>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</si>
  <si>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</si>
  <si>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</si>
  <si>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</si>
  <si>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</si>
  <si>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</si>
  <si>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</si>
  <si>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</si>
  <si>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</si>
  <si>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</si>
  <si>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</si>
  <si>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</si>
  <si>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</si>
  <si>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</si>
  <si>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</si>
  <si>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</si>
  <si>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</si>
  <si>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</si>
  <si>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</si>
  <si>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</si>
  <si>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</si>
  <si>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</si>
  <si>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</si>
  <si>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</si>
  <si>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</si>
  <si>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</si>
  <si>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</si>
  <si>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</si>
  <si>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</si>
  <si>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</si>
  <si>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</si>
  <si>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</si>
  <si>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</si>
  <si>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</si>
  <si>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</si>
  <si>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</si>
  <si>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</si>
  <si>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</si>
  <si>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</si>
  <si>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</si>
  <si>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</si>
  <si>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</si>
  <si>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</si>
  <si>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</si>
  <si>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</si>
  <si>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</si>
  <si>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</si>
  <si>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</si>
  <si>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</si>
  <si>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</si>
  <si>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</si>
  <si>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</si>
  <si>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</si>
  <si>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</si>
  <si>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</si>
  <si>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</si>
  <si>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</si>
  <si>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</si>
  <si>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</si>
  <si>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</si>
  <si>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</si>
  <si>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</si>
  <si>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</si>
  <si>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</si>
  <si>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</si>
  <si>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</si>
  <si>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</si>
  <si>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</si>
  <si>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</si>
  <si>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</si>
  <si>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</si>
  <si>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</si>
  <si>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</si>
  <si>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</si>
  <si>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</si>
  <si>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</si>
  <si>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</si>
  <si>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</si>
  <si>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</si>
  <si>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</si>
  <si>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</si>
  <si>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</si>
  <si>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</si>
  <si>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</si>
  <si>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</si>
  <si>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</si>
  <si>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</si>
  <si>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</si>
  <si>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</si>
  <si>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</si>
  <si>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</si>
  <si>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</si>
  <si>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</si>
  <si>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</si>
  <si>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</si>
  <si>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</si>
  <si>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</si>
  <si>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</si>
  <si>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</si>
  <si>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</si>
  <si>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</si>
  <si>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</si>
  <si>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</si>
  <si>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</si>
  <si>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</si>
  <si>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</si>
  <si>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</si>
  <si>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</si>
  <si>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</si>
  <si>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</si>
  <si>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</si>
  <si>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</si>
  <si>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</si>
  <si>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</si>
  <si>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</si>
  <si>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</si>
  <si>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</si>
  <si>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</si>
  <si>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</si>
  <si>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</si>
  <si>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</si>
  <si>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</si>
  <si>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</si>
  <si>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</si>
  <si>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</si>
  <si>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</si>
  <si>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</si>
  <si>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</si>
  <si>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</si>
  <si>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</si>
  <si>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</si>
  <si>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</si>
  <si>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</si>
  <si>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</si>
  <si>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</si>
  <si>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</si>
  <si>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</si>
  <si>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</si>
  <si>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</si>
  <si>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</si>
  <si>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</si>
  <si>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</si>
  <si>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</si>
  <si>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</si>
  <si>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</si>
  <si>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</si>
  <si>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</si>
  <si>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</si>
  <si>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</si>
  <si>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</si>
  <si>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</si>
  <si>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</si>
  <si>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</si>
  <si>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</si>
  <si>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</si>
  <si>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</si>
  <si>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</si>
  <si>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</si>
  <si>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</si>
  <si>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</si>
  <si>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</si>
  <si>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</si>
  <si>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</si>
  <si>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</si>
  <si>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</si>
  <si>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</si>
  <si>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</si>
  <si>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</si>
  <si>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</si>
  <si>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</si>
  <si>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</si>
  <si>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</si>
  <si>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</si>
  <si>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</si>
  <si>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</si>
  <si>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</si>
  <si>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</si>
  <si>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</si>
  <si>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</si>
  <si>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</si>
  <si>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</si>
  <si>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</si>
  <si>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</si>
  <si>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</si>
  <si>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</si>
  <si>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</si>
  <si>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</si>
  <si>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</si>
  <si>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</si>
  <si>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</si>
  <si>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</si>
  <si>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</si>
  <si>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</si>
  <si>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</si>
  <si>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</si>
  <si>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</si>
  <si>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</si>
  <si>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</si>
  <si>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</si>
  <si>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</si>
  <si>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</si>
  <si>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</si>
  <si>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</si>
  <si>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</si>
  <si>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</si>
  <si>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</si>
  <si>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</si>
  <si>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</si>
  <si>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</si>
  <si>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</si>
  <si>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</si>
  <si>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</si>
  <si>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</si>
  <si>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</si>
  <si>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</si>
  <si>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</si>
  <si>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</si>
  <si>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</si>
  <si>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</si>
  <si>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</si>
  <si>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</si>
  <si>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</si>
  <si>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</si>
  <si>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</si>
  <si>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</si>
  <si>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</si>
  <si>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</si>
  <si>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</si>
  <si>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</si>
  <si>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</si>
  <si>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</si>
  <si>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</si>
  <si>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</si>
  <si>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</si>
  <si>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</si>
  <si>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</si>
  <si>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</si>
  <si>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</si>
  <si>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</si>
  <si>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</si>
  <si>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</si>
  <si>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</si>
  <si>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</si>
  <si>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</si>
  <si>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</si>
  <si>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</si>
  <si>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</si>
  <si>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</si>
  <si>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</si>
  <si>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</si>
  <si>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</si>
  <si>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</si>
  <si>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</si>
  <si>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</si>
  <si>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</si>
  <si>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</si>
  <si>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</si>
  <si>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</si>
  <si>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</si>
  <si>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</si>
  <si>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</si>
  <si>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</si>
  <si>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</si>
  <si>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</si>
  <si>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</si>
  <si>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</si>
  <si>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</si>
  <si>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</si>
  <si>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</si>
  <si>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</si>
  <si>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</si>
  <si>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</si>
  <si>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</si>
  <si>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</si>
  <si>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</si>
  <si>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</si>
  <si>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</si>
  <si>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</si>
  <si>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</si>
  <si>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</si>
  <si>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</si>
  <si>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</si>
  <si>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</si>
  <si>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</si>
  <si>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</si>
  <si>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</si>
  <si>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</si>
  <si>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</si>
  <si>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</si>
  <si>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</si>
  <si>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</si>
  <si>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</si>
  <si>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</si>
  <si>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</si>
  <si>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</si>
  <si>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</si>
  <si>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</si>
  <si>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</si>
  <si>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</si>
  <si>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</si>
  <si>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</si>
  <si>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</si>
  <si>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</si>
  <si>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</si>
  <si>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</si>
  <si>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</si>
  <si>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</si>
  <si>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</si>
  <si>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</si>
  <si>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</si>
  <si>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</si>
  <si>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</si>
  <si>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</si>
  <si>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</si>
  <si>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</si>
  <si>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</si>
  <si>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</si>
  <si>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</si>
  <si>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</si>
  <si>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</si>
  <si>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</si>
  <si>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</si>
  <si>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</si>
  <si>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</si>
  <si>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</si>
  <si>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</si>
  <si>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</si>
  <si>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</si>
  <si>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</si>
  <si>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</si>
  <si>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</si>
  <si>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</si>
  <si>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</si>
  <si>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</si>
  <si>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</si>
  <si>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</si>
  <si>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</si>
  <si>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</si>
  <si>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</si>
  <si>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</si>
  <si>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</si>
  <si>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</si>
  <si>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</si>
  <si>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</si>
  <si>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</si>
  <si>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</si>
  <si>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</si>
  <si>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</si>
  <si>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</si>
  <si>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</si>
  <si>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</si>
  <si>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</si>
  <si>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</si>
  <si>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</si>
  <si>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</si>
  <si>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</si>
  <si>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</si>
  <si>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</si>
  <si>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</si>
  <si>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</si>
  <si>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</si>
  <si>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</si>
  <si>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</si>
  <si>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</si>
  <si>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</si>
  <si>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</si>
  <si>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</si>
  <si>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</si>
  <si>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</si>
  <si>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</si>
  <si>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</si>
  <si>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</si>
  <si>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</si>
  <si>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</si>
  <si>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</si>
  <si>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</si>
  <si>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</si>
  <si>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</si>
  <si>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</si>
  <si>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</si>
  <si>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</si>
  <si>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</si>
  <si>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</si>
  <si>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</si>
  <si>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</si>
  <si>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</si>
  <si>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</si>
  <si>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</si>
  <si>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</si>
  <si>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</si>
  <si>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</si>
  <si>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</si>
  <si>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</si>
  <si>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</si>
  <si>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</si>
  <si>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</si>
  <si>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</si>
  <si>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</si>
  <si>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</si>
  <si>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</si>
  <si>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</si>
  <si>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</si>
  <si>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</si>
  <si>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</si>
  <si>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</si>
  <si>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</si>
  <si>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</si>
  <si>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</si>
  <si>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</si>
  <si>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</si>
  <si>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</si>
  <si>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</si>
  <si>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</si>
  <si>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</si>
  <si>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</si>
  <si>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</si>
  <si>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</si>
  <si>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</si>
  <si>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</si>
  <si>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</si>
  <si>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</si>
  <si>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</si>
  <si>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</si>
  <si>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</si>
  <si>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</si>
  <si>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</si>
  <si>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</si>
  <si>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</si>
  <si>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</si>
  <si>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</si>
  <si>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</si>
  <si>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</si>
  <si>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</si>
  <si>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</si>
  <si>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</si>
  <si>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</si>
  <si>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</si>
  <si>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</si>
  <si>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</si>
  <si>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</si>
  <si>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</si>
  <si>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</si>
  <si>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</si>
  <si>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</si>
  <si>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</si>
  <si>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</si>
  <si>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</si>
  <si>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</si>
  <si>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</si>
  <si>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</si>
  <si>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</si>
  <si>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</si>
  <si>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</si>
  <si>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</si>
  <si>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</si>
  <si>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</si>
  <si>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</si>
  <si>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</si>
  <si>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</si>
  <si>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</si>
  <si>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</si>
  <si>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</si>
  <si>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</si>
  <si>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</si>
  <si>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</si>
  <si>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</si>
  <si>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</si>
  <si>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</si>
  <si>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</si>
  <si>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</si>
  <si>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</si>
  <si>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</si>
  <si>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</si>
  <si>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</si>
  <si>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</si>
  <si>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</si>
  <si>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</si>
  <si>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</si>
  <si>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</si>
  <si>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</si>
  <si>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</si>
  <si>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</si>
  <si>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</si>
  <si>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</si>
  <si>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</si>
  <si>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</si>
  <si>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</si>
  <si>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</si>
  <si>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</si>
  <si>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</si>
  <si>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</si>
  <si>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</si>
  <si>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</si>
  <si>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</si>
  <si>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</si>
  <si>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</si>
  <si>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</si>
  <si>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</si>
  <si>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</si>
  <si>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</si>
  <si>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</si>
  <si>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</si>
  <si>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</si>
  <si>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</si>
  <si>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</si>
  <si>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</si>
  <si>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</si>
  <si>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</si>
  <si>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</si>
  <si>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</si>
  <si>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</si>
  <si>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</si>
  <si>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</si>
  <si>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</si>
  <si>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</si>
  <si>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</si>
  <si>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</si>
  <si>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</si>
  <si>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</si>
  <si>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</si>
  <si>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</si>
  <si>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</si>
  <si>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</si>
  <si>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</si>
  <si>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</si>
  <si>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</si>
  <si>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</si>
  <si>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</si>
  <si>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</si>
  <si>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</si>
  <si>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</si>
  <si>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</si>
  <si>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</si>
  <si>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</si>
  <si>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</si>
  <si>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</si>
  <si>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</si>
  <si>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</si>
  <si>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</si>
  <si>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</si>
  <si>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</si>
  <si>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</si>
  <si>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</si>
  <si>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</si>
  <si>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</si>
  <si>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</si>
  <si>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</si>
  <si>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</si>
  <si>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</si>
  <si>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</si>
  <si>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</si>
  <si>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</si>
  <si>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</si>
  <si>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</si>
  <si>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</si>
  <si>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</si>
  <si>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</si>
  <si>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</si>
  <si>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</si>
  <si>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</si>
  <si>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</si>
  <si>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</si>
  <si>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</si>
  <si>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</si>
  <si>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</si>
  <si>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</si>
  <si>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</si>
  <si>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</si>
  <si>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</si>
  <si>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</si>
  <si>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</si>
  <si>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</si>
  <si>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</si>
  <si>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</si>
  <si>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</si>
  <si>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</si>
  <si>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</si>
  <si>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</si>
  <si>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</si>
  <si>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</si>
  <si>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</si>
  <si>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</si>
  <si>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</si>
  <si>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</si>
  <si>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</si>
  <si>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</si>
  <si>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</si>
  <si>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</si>
  <si>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</si>
  <si>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</si>
  <si>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</si>
  <si>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</si>
  <si>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</si>
  <si>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</si>
  <si>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</si>
  <si>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</si>
  <si>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</si>
  <si>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</si>
  <si>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</si>
  <si>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</si>
  <si>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</si>
  <si>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</si>
  <si>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</si>
  <si>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</si>
  <si>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</si>
  <si>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</si>
  <si>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</si>
  <si>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</si>
  <si>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</si>
  <si>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</si>
  <si>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</si>
  <si>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</si>
  <si>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</si>
  <si>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</si>
  <si>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</si>
  <si>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</si>
  <si>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</si>
  <si>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</si>
  <si>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</si>
  <si>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</si>
  <si>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</si>
  <si>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</si>
  <si>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Aug</t>
  </si>
  <si>
    <t>Sep</t>
  </si>
  <si>
    <t>Oct</t>
  </si>
  <si>
    <t>Nov</t>
  </si>
  <si>
    <t>Dec</t>
  </si>
  <si>
    <t>Row Labels</t>
  </si>
  <si>
    <t>Jan</t>
  </si>
  <si>
    <t>Feb</t>
  </si>
  <si>
    <t>Mar</t>
  </si>
  <si>
    <t>Apr</t>
  </si>
  <si>
    <t>Jun</t>
  </si>
  <si>
    <t>Jul</t>
  </si>
  <si>
    <t>Average of Total Sales2</t>
  </si>
  <si>
    <t>Sum of Quantity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</si>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</sst>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quot;K&quot;"/>
    <numFmt numFmtId="167" formatCode="0.0,,&quot;M&quot;"/>
  </numFmts>
  <fonts count="3" x14ac:knownFonts="1">
    <font>
      <sz val="11"/>
      <color theme="1"/>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E3EDE7"/>
        <bgColor indexed="64"/>
      </patternFill>
    </fill>
    <fill>
      <patternFill patternType="solid">
        <fgColor rgb="FFE3EDE7"/>
        <bgColor theme="0" tint="-0.14999847407452621"/>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0" fillId="0" borderId="0" xfId="0" applyFill="1"/>
    <xf numFmtId="0" fontId="0" fillId="0" borderId="0" xfId="0" applyNumberFormat="1"/>
    <xf numFmtId="0" fontId="0" fillId="0" borderId="0" xfId="0" pivotButton="1"/>
    <xf numFmtId="0" fontId="0" fillId="0" borderId="2" xfId="0" applyFont="1" applyBorder="1"/>
    <xf numFmtId="0" fontId="0" fillId="0" borderId="0" xfId="0" applyAlignment="1">
      <alignment horizontal="left"/>
    </xf>
    <xf numFmtId="22" fontId="0" fillId="0" borderId="0" xfId="0" applyNumberFormat="1" applyAlignment="1">
      <alignment horizontal="left"/>
    </xf>
    <xf numFmtId="0" fontId="0" fillId="0" borderId="1" xfId="0" applyBorder="1"/>
    <xf numFmtId="0" fontId="0" fillId="0" borderId="1" xfId="0" applyNumberFormat="1" applyBorder="1"/>
    <xf numFmtId="22" fontId="0" fillId="0" borderId="1" xfId="0" applyNumberFormat="1" applyBorder="1"/>
    <xf numFmtId="2" fontId="0" fillId="0" borderId="0" xfId="0" applyNumberFormat="1"/>
    <xf numFmtId="9" fontId="0" fillId="0" borderId="0" xfId="1" applyFont="1"/>
    <xf numFmtId="0" fontId="0" fillId="0" borderId="0" xfId="0"/>
    <xf numFmtId="164" fontId="0" fillId="0" borderId="0" xfId="0" applyNumberFormat="1"/>
    <xf numFmtId="167" fontId="0" fillId="0" borderId="0" xfId="0" applyNumberFormat="1"/>
    <xf numFmtId="9" fontId="0" fillId="0" borderId="0" xfId="1" applyFont="1" applyFill="1"/>
    <xf numFmtId="0" fontId="0" fillId="2" borderId="0" xfId="0" applyFill="1"/>
    <xf numFmtId="0" fontId="0" fillId="3" borderId="0" xfId="0" applyNumberFormat="1" applyFill="1"/>
    <xf numFmtId="4" fontId="0" fillId="0" borderId="0" xfId="0" applyNumberFormat="1" applyFill="1"/>
  </cellXfs>
  <cellStyles count="2">
    <cellStyle name="Normal" xfId="0" builtinId="0"/>
    <cellStyle name="Percent" xfId="1" builtinId="5"/>
  </cellStyles>
  <dxfs count="40">
    <dxf>
      <fill>
        <patternFill>
          <bgColor rgb="FFFF0000"/>
        </patternFill>
      </fill>
    </dxf>
    <dxf>
      <fill>
        <patternFill>
          <bgColor rgb="FF92D050"/>
        </patternFill>
      </fill>
    </dxf>
    <dxf>
      <fill>
        <patternFill>
          <bgColor theme="9"/>
        </patternFill>
      </fill>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numFmt numFmtId="2" formatCode="0.0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rgb="FF4F81BD"/>
        </bottom>
        <vertical/>
        <horizontal/>
      </border>
    </dxf>
    <dxf>
      <font>
        <b val="0"/>
        <i val="0"/>
        <color theme="1"/>
      </font>
      <fill>
        <gradientFill degree="90">
          <stop position="0">
            <color rgb="FF9AB7A8"/>
          </stop>
          <stop position="1">
            <color theme="0"/>
          </stop>
        </gradientFill>
      </fill>
      <border>
        <left style="thin">
          <color rgb="FF4F81BD"/>
        </left>
        <right style="thin">
          <color rgb="FF4F81BD"/>
        </right>
        <top style="thin">
          <color rgb="FF4F81BD"/>
        </top>
        <bottom style="thin">
          <color rgb="FF4F81BD"/>
        </bottom>
        <vertical/>
        <horizontal/>
      </border>
    </dxf>
    <dxf>
      <font>
        <b/>
        <color theme="1"/>
      </font>
      <border>
        <bottom style="thin">
          <color theme="4"/>
        </bottom>
        <vertical/>
        <horizontal/>
      </border>
    </dxf>
    <dxf>
      <font>
        <color theme="1"/>
      </font>
      <fill>
        <gradientFill degree="90">
          <stop position="0">
            <color theme="0"/>
          </stop>
          <stop position="1">
            <color rgb="FF7DA390"/>
          </stop>
        </gradientFill>
      </fill>
      <border>
        <left style="thin">
          <color theme="4"/>
        </left>
        <right style="thin">
          <color theme="4"/>
        </right>
        <top style="thin">
          <color theme="4"/>
        </top>
        <bottom style="thin">
          <color theme="4"/>
        </bottom>
        <vertical/>
        <horizontal/>
      </border>
    </dxf>
    <dxf>
      <font>
        <name val="Calibri"/>
        <family val="2"/>
        <scheme val="minor"/>
      </font>
      <fill>
        <gradientFill degree="90">
          <stop position="0">
            <color rgb="FFA8C1B5"/>
          </stop>
          <stop position="1">
            <color rgb="FFA8C1B5"/>
          </stop>
        </gradientFill>
      </fill>
    </dxf>
    <dxf>
      <fill>
        <patternFill>
          <fgColor rgb="FF6F9984"/>
        </patternFill>
      </fill>
    </dxf>
    <dxf>
      <fill>
        <patternFill patternType="solid">
          <fgColor rgb="FF6F9984"/>
        </patternFill>
      </fill>
    </dxf>
    <dxf>
      <font>
        <b/>
        <i val="0"/>
      </font>
      <fill>
        <gradientFill degree="90">
          <stop position="0">
            <color theme="0"/>
          </stop>
          <stop position="1">
            <color rgb="FF9AB7A8"/>
          </stop>
        </gradientFill>
      </fill>
      <border diagonalUp="0" diagonalDown="0">
        <left/>
        <right/>
        <top/>
        <bottom/>
        <vertical/>
        <horizontal/>
      </border>
    </dxf>
    <dxf>
      <fill>
        <gradientFill degree="90">
          <stop position="0">
            <color rgb="FFB0C3EB"/>
          </stop>
          <stop position="1">
            <color theme="0"/>
          </stop>
        </gradientFill>
      </fill>
    </dxf>
    <dxf>
      <fill>
        <gradientFill degree="90">
          <stop position="0">
            <color theme="0"/>
          </stop>
          <stop position="1">
            <color rgb="FFD1DCF3"/>
          </stop>
        </gradientFill>
      </fill>
    </dxf>
    <dxf>
      <fill>
        <gradientFill degree="90">
          <stop position="0">
            <color rgb="FFAAC2B6"/>
          </stop>
          <stop position="1">
            <color theme="0"/>
          </stop>
        </gradientFill>
      </fill>
    </dxf>
    <dxf>
      <fill>
        <patternFill patternType="solid">
          <fgColor rgb="FFAAC2B6"/>
          <bgColor theme="8" tint="0.79995117038483843"/>
        </patternFill>
      </fill>
      <border>
        <bottom style="thin">
          <color theme="8" tint="0.39997558519241921"/>
        </bottom>
      </border>
    </dxf>
    <dxf>
      <fill>
        <gradientFill degree="90">
          <stop position="0">
            <color theme="0"/>
          </stop>
          <stop position="1">
            <color rgb="FFAAC2B6"/>
          </stop>
        </gradientFill>
      </fill>
      <border>
        <bottom style="thin">
          <color theme="8" tint="0.39997558519241921"/>
        </bottom>
      </border>
    </dxf>
    <dxf>
      <font>
        <b/>
        <color theme="1"/>
      </font>
    </dxf>
    <dxf>
      <font>
        <b/>
        <color theme="1"/>
      </font>
      <border>
        <bottom style="thin">
          <color theme="8" tint="0.39997558519241921"/>
        </bottom>
      </border>
    </dxf>
    <dxf>
      <font>
        <b/>
        <color theme="1"/>
      </font>
    </dxf>
    <dxf>
      <font>
        <b/>
        <color theme="1"/>
      </font>
      <border>
        <top style="thin">
          <color theme="8"/>
        </top>
        <bottom style="thin">
          <color theme="8"/>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8" tint="0.79998168889431442"/>
          <bgColor theme="8" tint="0.79998168889431442"/>
        </patternFill>
      </fill>
      <border>
        <top style="thin">
          <color theme="8" tint="0.39997558519241921"/>
        </top>
      </border>
    </dxf>
    <dxf>
      <font>
        <b/>
        <color theme="1"/>
      </font>
      <fill>
        <patternFill patternType="solid">
          <fgColor theme="8" tint="0.79998168889431442"/>
          <bgColor theme="8" tint="0.79998168889431442"/>
        </patternFill>
      </fill>
      <border>
        <bottom style="thin">
          <color theme="8" tint="0.39997558519241921"/>
        </bottom>
      </border>
    </dxf>
  </dxfs>
  <tableStyles count="11" defaultTableStyle="TableStyleMedium9" defaultPivotStyle="PivotStyleLight16">
    <tableStyle name="GREEN NEW" pivot="0" table="0" count="10" xr9:uid="{E8EFFD35-6CD3-4303-A480-9EED993D978A}">
      <tableStyleElement type="wholeTable" dxfId="4"/>
      <tableStyleElement type="headerRow" dxfId="3"/>
    </tableStyle>
    <tableStyle name="PivotStyleLight20 2" table="0" count="11" xr9:uid="{1A9327F0-AB37-40FB-955E-19064CE50B6E}">
      <tableStyleElement type="headerRow" dxfId="39"/>
      <tableStyleElement type="totalRow" dxfId="38"/>
      <tableStyleElement type="firstRowStripe" dxfId="37"/>
      <tableStyleElement type="firstColumnStripe" dxfId="36"/>
      <tableStyleElement type="firstSubtotalColumn" dxfId="35"/>
      <tableStyleElement type="firstSubtotalRow" dxfId="34"/>
      <tableStyleElement type="secondSubtotalRow" dxfId="33"/>
      <tableStyleElement type="firstRowSubheading" dxfId="32"/>
      <tableStyleElement type="secondRowSubheading" dxfId="31"/>
      <tableStyleElement type="pageFieldLabels" dxfId="30"/>
      <tableStyleElement type="pageFieldValues" dxfId="29"/>
    </tableStyle>
    <tableStyle name="PivotTable Style 1" table="0" count="1" xr9:uid="{80E16D05-90D5-4757-AD8C-EE1D959DD42D}">
      <tableStyleElement type="pageFieldLabels" dxfId="28"/>
    </tableStyle>
    <tableStyle name="Slicer Style 1" pivot="0" table="0" count="1" xr9:uid="{D8A53A24-2256-4F70-96A6-C82076DC7F9A}">
      <tableStyleElement type="wholeTable" dxfId="27"/>
    </tableStyle>
    <tableStyle name="Slicer Style 2" pivot="0" table="0" count="1" xr9:uid="{193FCD62-F65C-4EF3-8392-2151057524A1}">
      <tableStyleElement type="wholeTable" dxfId="26"/>
    </tableStyle>
    <tableStyle name="Slicer Style 3" pivot="0" table="0" count="1" xr9:uid="{F106CB8C-DDA2-40E4-A360-88704E6E0313}">
      <tableStyleElement type="wholeTable" dxfId="25"/>
    </tableStyle>
    <tableStyle name="Slicer Style 4" pivot="0" table="0" count="1" xr9:uid="{EF6CBE71-B4C8-4303-9A68-29620CB60694}">
      <tableStyleElement type="wholeTable" dxfId="24"/>
    </tableStyle>
    <tableStyle name="Slicer Style 5" pivot="0" table="0" count="1" xr9:uid="{A86CC9F5-D749-411E-A89B-BA4D48362D61}">
      <tableStyleElement type="wholeTable" dxfId="23"/>
    </tableStyle>
    <tableStyle name="Slicer Style 6" pivot="0" table="0" count="1" xr9:uid="{32133000-162A-4B91-BF25-0CF5127C9883}">
      <tableStyleElement type="wholeTable" dxfId="22"/>
    </tableStyle>
    <tableStyle name="SlicerStyleLight1 2" pivot="0" table="0" count="10" xr9:uid="{539D6C23-EB0D-4D3A-A936-E969C5473311}">
      <tableStyleElement type="wholeTable" dxfId="21"/>
      <tableStyleElement type="headerRow" dxfId="20"/>
    </tableStyle>
    <tableStyle name="SlicerStyleOther2 2" pivot="0" table="0" count="10" xr9:uid="{B0CF19AA-E3D1-4AAB-8AA6-A4FFE72504CA}">
      <tableStyleElement type="wholeTable" dxfId="19"/>
      <tableStyleElement type="headerRow" dxfId="18"/>
    </tableStyle>
  </tableStyles>
  <colors>
    <mruColors>
      <color rgb="FFE3EDE7"/>
      <color rgb="FFD4E2D9"/>
      <color rgb="FF8DB29A"/>
      <color rgb="FFD9D9D9"/>
      <color rgb="FFDDE7E2"/>
      <color rgb="FFE9EFEC"/>
      <color rgb="FF3F6B5A"/>
      <color rgb="FF435F51"/>
      <color rgb="FFF3F5F4"/>
      <color rgb="FFCCDAD3"/>
    </mruColors>
  </colors>
  <extLst>
    <ext xmlns:x14="http://schemas.microsoft.com/office/spreadsheetml/2009/9/main" uri="{46F421CA-312F-682f-3DD2-61675219B42D}">
      <x14:dxfs count="24">
        <dxf>
          <font>
            <color theme="1"/>
          </font>
          <fill>
            <gradientFill degree="90">
              <stop position="0">
                <color rgb="FF3F6B5A"/>
              </stop>
              <stop position="1">
                <color rgb="FFE9EFEC"/>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3F6B5A"/>
              </stop>
              <stop position="1">
                <color rgb="FFE9EFEC"/>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3F6B5A"/>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3F6B5A"/>
              </stop>
              <stop position="1">
                <color rgb="FFE9EFEC"/>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8DB29A"/>
              </stop>
              <stop position="1">
                <color rgb="FF8DB29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8DB29A"/>
              </stop>
              <stop position="1">
                <color rgb="FFE9EFEC"/>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6F9984"/>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8DB29A"/>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REEN 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 name="Slicer Style 4"/>
        <x14:slicerStyle name="Slicer Style 5"/>
        <x14:slicerStyle name="Slicer Style 6"/>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microsoft.com/office/2007/relationships/slicerCache" Target="slicerCaches/slicerCache3.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1.xlsx]Pivot Table!Sale person</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400" b="0" i="0" u="none" strike="noStrike" cap="none" baseline="0">
                <a:solidFill>
                  <a:schemeClr val="tx1">
                    <a:lumMod val="65000"/>
                    <a:lumOff val="35000"/>
                  </a:schemeClr>
                </a:solidFill>
              </a:rPr>
              <a:t>Top 5 Sales Person Total Sales</a:t>
            </a:r>
            <a:endParaRPr lang="en-US" sz="14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6B5A"/>
          </a:solidFill>
          <a:ln w="9525" cap="flat" cmpd="sng" algn="ctr">
            <a:no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'Pivot Table'!$B$43</c:f>
              <c:strCache>
                <c:ptCount val="1"/>
                <c:pt idx="0">
                  <c:v>Total</c:v>
                </c:pt>
              </c:strCache>
            </c:strRef>
          </c:tx>
          <c:spPr>
            <a:solidFill>
              <a:srgbClr val="3F6B5A"/>
            </a:solidFill>
            <a:ln>
              <a:noFill/>
            </a:ln>
          </c:spPr>
          <c:invertIfNegative val="0"/>
          <c:dPt>
            <c:idx val="0"/>
            <c:invertIfNegative val="0"/>
            <c:bubble3D val="0"/>
            <c:spPr>
              <a:solidFill>
                <a:srgbClr val="3F6B5A"/>
              </a:solidFill>
              <a:ln w="9525" cap="flat" cmpd="sng" algn="ctr">
                <a:noFill/>
                <a:round/>
              </a:ln>
              <a:effectLst>
                <a:outerShdw blurRad="40000" dist="20000" dir="5400000" rotWithShape="0">
                  <a:srgbClr val="000000">
                    <a:alpha val="38000"/>
                  </a:srgbClr>
                </a:outerShdw>
              </a:effectLst>
            </c:spPr>
          </c:dPt>
          <c:dPt>
            <c:idx val="1"/>
            <c:invertIfNegative val="0"/>
            <c:bubble3D val="0"/>
            <c:spPr>
              <a:solidFill>
                <a:srgbClr val="3F6B5A"/>
              </a:solidFill>
              <a:ln w="9525" cap="flat" cmpd="sng" algn="ctr">
                <a:noFill/>
                <a:round/>
              </a:ln>
              <a:effectLst>
                <a:outerShdw blurRad="40000" dist="20000" dir="5400000" rotWithShape="0">
                  <a:srgbClr val="000000">
                    <a:alpha val="38000"/>
                  </a:srgbClr>
                </a:outerShdw>
              </a:effectLst>
            </c:spPr>
          </c:dPt>
          <c:dPt>
            <c:idx val="2"/>
            <c:invertIfNegative val="0"/>
            <c:bubble3D val="0"/>
            <c:spPr>
              <a:solidFill>
                <a:srgbClr val="3F6B5A"/>
              </a:solidFill>
              <a:ln w="9525" cap="flat" cmpd="sng" algn="ctr">
                <a:noFill/>
                <a:round/>
              </a:ln>
              <a:effectLst>
                <a:outerShdw blurRad="40000" dist="20000" dir="5400000" rotWithShape="0">
                  <a:srgbClr val="000000">
                    <a:alpha val="38000"/>
                  </a:srgbClr>
                </a:outerShdw>
              </a:effectLst>
            </c:spPr>
          </c:dPt>
          <c:dPt>
            <c:idx val="3"/>
            <c:invertIfNegative val="0"/>
            <c:bubble3D val="0"/>
            <c:spPr>
              <a:solidFill>
                <a:srgbClr val="3F6B5A"/>
              </a:solidFill>
              <a:ln w="9525" cap="flat" cmpd="sng" algn="ctr">
                <a:noFill/>
                <a:round/>
              </a:ln>
              <a:effectLst>
                <a:outerShdw blurRad="40000" dist="20000" dir="5400000" rotWithShape="0">
                  <a:srgbClr val="000000">
                    <a:alpha val="38000"/>
                  </a:srgbClr>
                </a:outerShdw>
              </a:effectLst>
            </c:spPr>
          </c:dPt>
          <c:dPt>
            <c:idx val="4"/>
            <c:invertIfNegative val="0"/>
            <c:bubble3D val="0"/>
            <c:spPr>
              <a:solidFill>
                <a:srgbClr val="3F6B5A"/>
              </a:solidFill>
              <a:ln w="9525" cap="flat" cmpd="sng" algn="ctr">
                <a:noFill/>
                <a:round/>
              </a:ln>
              <a:effectLst>
                <a:outerShdw blurRad="40000" dist="20000" dir="5400000" rotWithShape="0">
                  <a:srgbClr val="000000">
                    <a:alpha val="38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Table'!$A$44:$A$49</c:f>
              <c:strCache>
                <c:ptCount val="5"/>
                <c:pt idx="0">
                  <c:v>Aman</c:v>
                </c:pt>
                <c:pt idx="1">
                  <c:v>Priya</c:v>
                </c:pt>
                <c:pt idx="2">
                  <c:v>Neha</c:v>
                </c:pt>
                <c:pt idx="3">
                  <c:v>Karan</c:v>
                </c:pt>
                <c:pt idx="4">
                  <c:v>Sneha</c:v>
                </c:pt>
              </c:strCache>
            </c:strRef>
          </c:cat>
          <c:val>
            <c:numRef>
              <c:f>'Pivot Table'!$B$44:$B$49</c:f>
              <c:numCache>
                <c:formatCode>0.0,,"M"</c:formatCode>
                <c:ptCount val="5"/>
                <c:pt idx="0">
                  <c:v>29002641</c:v>
                </c:pt>
                <c:pt idx="1">
                  <c:v>27408133</c:v>
                </c:pt>
                <c:pt idx="2">
                  <c:v>27160837</c:v>
                </c:pt>
                <c:pt idx="3">
                  <c:v>26353693</c:v>
                </c:pt>
                <c:pt idx="4">
                  <c:v>18518214</c:v>
                </c:pt>
              </c:numCache>
            </c:numRef>
          </c:val>
          <c:extLst>
            <c:ext xmlns:c16="http://schemas.microsoft.com/office/drawing/2014/chart" uri="{C3380CC4-5D6E-409C-BE32-E72D297353CC}">
              <c16:uniqueId val="{00000000-9B54-4DAC-BF60-72B99D8D0F35}"/>
            </c:ext>
          </c:extLst>
        </c:ser>
        <c:dLbls>
          <c:dLblPos val="outEnd"/>
          <c:showLegendKey val="0"/>
          <c:showVal val="1"/>
          <c:showCatName val="0"/>
          <c:showSerName val="0"/>
          <c:showPercent val="0"/>
          <c:showBubbleSize val="0"/>
        </c:dLbls>
        <c:gapWidth val="150"/>
        <c:axId val="1752666688"/>
        <c:axId val="1752675840"/>
      </c:barChart>
      <c:catAx>
        <c:axId val="17526666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675840"/>
        <c:crosses val="autoZero"/>
        <c:auto val="1"/>
        <c:lblAlgn val="ctr"/>
        <c:lblOffset val="100"/>
        <c:noMultiLvlLbl val="0"/>
      </c:catAx>
      <c:valAx>
        <c:axId val="1752675840"/>
        <c:scaling>
          <c:orientation val="minMax"/>
        </c:scaling>
        <c:delete val="1"/>
        <c:axPos val="l"/>
        <c:numFmt formatCode="0.0,,&quot;M&quot;" sourceLinked="1"/>
        <c:majorTickMark val="out"/>
        <c:minorTickMark val="none"/>
        <c:tickLblPos val="nextTo"/>
        <c:crossAx val="175266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D9D9D9"/>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1.xlsx]Pivot Table!Category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p>
        </c:rich>
      </c:tx>
      <c:layout>
        <c:manualLayout>
          <c:xMode val="edge"/>
          <c:yMode val="edge"/>
          <c:x val="0.25837434737598319"/>
          <c:y val="0.237661112413600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tx1">
              <a:lumMod val="65000"/>
              <a:lumOff val="35000"/>
            </a:schemeClr>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F9984"/>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spPr>
          <a:solidFill>
            <a:srgbClr val="8DB29A"/>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800" b="0" i="0" u="none" strike="noStrike" kern="1200" baseline="0">
                    <a:solidFill>
                      <a:srgbClr val="DDE7E2"/>
                    </a:solidFill>
                    <a:latin typeface="+mn-lt"/>
                    <a:ea typeface="+mn-ea"/>
                    <a:cs typeface="+mn-cs"/>
                  </a:defRPr>
                </a:pPr>
                <a:fld id="{D6FC1F87-2271-4220-B775-B41A3C11BEED}" type="PERCENTAGE">
                  <a:rPr lang="en-US">
                    <a:solidFill>
                      <a:schemeClr val="tx1">
                        <a:lumMod val="65000"/>
                        <a:lumOff val="35000"/>
                      </a:schemeClr>
                    </a:solidFill>
                  </a:rPr>
                  <a:pPr>
                    <a:defRPr sz="1800">
                      <a:solidFill>
                        <a:srgbClr val="DDE7E2"/>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DE7E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tx1">
              <a:lumMod val="65000"/>
              <a:lumOff val="3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800" b="0" i="0" u="none" strike="noStrike" kern="1200" baseline="0">
                    <a:solidFill>
                      <a:srgbClr val="B8CCC2"/>
                    </a:solidFill>
                    <a:latin typeface="+mn-lt"/>
                    <a:ea typeface="+mn-ea"/>
                    <a:cs typeface="+mn-cs"/>
                  </a:defRPr>
                </a:pPr>
                <a:fld id="{B63A6C13-3A31-4C8E-B1EB-87EB70695646}" type="PERCENTAGE">
                  <a:rPr lang="en-US">
                    <a:solidFill>
                      <a:srgbClr val="CCDAD3"/>
                    </a:solidFill>
                  </a:rPr>
                  <a:pPr>
                    <a:defRPr sz="1800">
                      <a:solidFill>
                        <a:srgbClr val="B8CCC2"/>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B8CCC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6"/>
      </c:pivotFmt>
      <c:pivotFmt>
        <c:idx val="17"/>
      </c:pivotFmt>
    </c:pivotFmts>
    <c:plotArea>
      <c:layout>
        <c:manualLayout>
          <c:layoutTarget val="inner"/>
          <c:xMode val="edge"/>
          <c:yMode val="edge"/>
          <c:x val="0.16437693798449615"/>
          <c:y val="0.18473738976960785"/>
          <c:w val="0.70445648185152898"/>
          <c:h val="0.86433260861847516"/>
        </c:manualLayout>
      </c:layout>
      <c:doughnutChart>
        <c:varyColors val="0"/>
        <c:ser>
          <c:idx val="0"/>
          <c:order val="0"/>
          <c:tx>
            <c:strRef>
              <c:f>'Pivot Table'!$B$3</c:f>
              <c:strCache>
                <c:ptCount val="1"/>
                <c:pt idx="0">
                  <c:v>Total</c:v>
                </c:pt>
              </c:strCache>
            </c:strRef>
          </c:tx>
          <c:spPr>
            <a:solidFill>
              <a:schemeClr val="tx1">
                <a:lumMod val="65000"/>
                <a:lumOff val="35000"/>
              </a:schemeClr>
            </a:solidFill>
            <a:ln w="19050">
              <a:solidFill>
                <a:schemeClr val="lt1"/>
              </a:solidFill>
            </a:ln>
            <a:effectLst/>
          </c:spPr>
          <c:dPt>
            <c:idx val="0"/>
            <c:bubble3D val="0"/>
            <c:spPr>
              <a:solidFill>
                <a:srgbClr val="8DB29A"/>
              </a:solidFill>
              <a:ln w="19050">
                <a:solidFill>
                  <a:schemeClr val="lt1"/>
                </a:solidFill>
              </a:ln>
              <a:effectLst/>
            </c:spPr>
            <c:extLst>
              <c:ext xmlns:c16="http://schemas.microsoft.com/office/drawing/2014/chart" uri="{C3380CC4-5D6E-409C-BE32-E72D297353CC}">
                <c16:uniqueId val="{00000001-9468-4B21-A311-19A9291959BE}"/>
              </c:ext>
            </c:extLst>
          </c:dPt>
          <c:dPt>
            <c:idx val="1"/>
            <c:bubble3D val="0"/>
            <c:extLst>
              <c:ext xmlns:c16="http://schemas.microsoft.com/office/drawing/2014/chart" uri="{C3380CC4-5D6E-409C-BE32-E72D297353CC}">
                <c16:uniqueId val="{00000003-9468-4B21-A311-19A9291959BE}"/>
              </c:ext>
            </c:extLst>
          </c:dPt>
          <c:dLbls>
            <c:dLbl>
              <c:idx val="0"/>
              <c:tx>
                <c:rich>
                  <a:bodyPr rot="0" spcFirstLastPara="1" vertOverflow="ellipsis" vert="horz" wrap="square" lIns="38100" tIns="19050" rIns="38100" bIns="19050" anchor="ctr" anchorCtr="1">
                    <a:spAutoFit/>
                  </a:bodyPr>
                  <a:lstStyle/>
                  <a:p>
                    <a:pPr>
                      <a:defRPr sz="1800" b="0" i="0" u="none" strike="noStrike" kern="1200" baseline="0">
                        <a:solidFill>
                          <a:srgbClr val="DDE7E2"/>
                        </a:solidFill>
                        <a:latin typeface="+mn-lt"/>
                        <a:ea typeface="+mn-ea"/>
                        <a:cs typeface="+mn-cs"/>
                      </a:defRPr>
                    </a:pPr>
                    <a:fld id="{D6FC1F87-2271-4220-B775-B41A3C11BEED}" type="PERCENTAGE">
                      <a:rPr lang="en-US">
                        <a:solidFill>
                          <a:schemeClr val="tx1">
                            <a:lumMod val="65000"/>
                            <a:lumOff val="35000"/>
                          </a:schemeClr>
                        </a:solidFill>
                      </a:rPr>
                      <a:pPr>
                        <a:defRPr sz="1800">
                          <a:solidFill>
                            <a:srgbClr val="DDE7E2"/>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DE7E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468-4B21-A311-19A9291959BE}"/>
                </c:ext>
              </c:extLst>
            </c:dLbl>
            <c:dLbl>
              <c:idx val="1"/>
              <c:tx>
                <c:rich>
                  <a:bodyPr rot="0" spcFirstLastPara="1" vertOverflow="ellipsis" vert="horz" wrap="square" lIns="38100" tIns="19050" rIns="38100" bIns="19050" anchor="ctr" anchorCtr="1">
                    <a:spAutoFit/>
                  </a:bodyPr>
                  <a:lstStyle/>
                  <a:p>
                    <a:pPr>
                      <a:defRPr sz="1800" b="0" i="0" u="none" strike="noStrike" kern="1200" baseline="0">
                        <a:solidFill>
                          <a:srgbClr val="B8CCC2"/>
                        </a:solidFill>
                        <a:latin typeface="+mn-lt"/>
                        <a:ea typeface="+mn-ea"/>
                        <a:cs typeface="+mn-cs"/>
                      </a:defRPr>
                    </a:pPr>
                    <a:fld id="{B63A6C13-3A31-4C8E-B1EB-87EB70695646}" type="PERCENTAGE">
                      <a:rPr lang="en-US">
                        <a:solidFill>
                          <a:srgbClr val="CCDAD3"/>
                        </a:solidFill>
                      </a:rPr>
                      <a:pPr>
                        <a:defRPr sz="1800">
                          <a:solidFill>
                            <a:srgbClr val="B8CCC2"/>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B8CCC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468-4B21-A311-19A9291959BE}"/>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Accessories</c:v>
                </c:pt>
                <c:pt idx="1">
                  <c:v>Electronics</c:v>
                </c:pt>
              </c:strCache>
            </c:strRef>
          </c:cat>
          <c:val>
            <c:numRef>
              <c:f>'Pivot Table'!$B$4:$B$6</c:f>
              <c:numCache>
                <c:formatCode>General</c:formatCode>
                <c:ptCount val="2"/>
                <c:pt idx="0">
                  <c:v>16283980</c:v>
                </c:pt>
                <c:pt idx="1">
                  <c:v>11530019</c:v>
                </c:pt>
              </c:numCache>
            </c:numRef>
          </c:val>
          <c:extLst>
            <c:ext xmlns:c16="http://schemas.microsoft.com/office/drawing/2014/chart" uri="{C3380CC4-5D6E-409C-BE32-E72D297353CC}">
              <c16:uniqueId val="{00000009-949F-4C5F-A007-67F5C532DAC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D9D9D9"/>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1.xlsx]Pivot Table!product</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65000"/>
                    <a:lumOff val="35000"/>
                  </a:schemeClr>
                </a:solidFill>
                <a:latin typeface="+mn-lt"/>
                <a:ea typeface="+mn-ea"/>
                <a:cs typeface="+mn-cs"/>
              </a:defRPr>
            </a:pPr>
            <a:r>
              <a:rPr lang="en-IN" sz="1400" b="0" i="0" u="none" strike="noStrike" cap="none" baseline="0">
                <a:solidFill>
                  <a:schemeClr val="tx1">
                    <a:lumMod val="65000"/>
                    <a:lumOff val="35000"/>
                  </a:schemeClr>
                </a:solidFill>
              </a:rPr>
              <a:t>Top 5 Products by Sales</a:t>
            </a:r>
            <a:endParaRPr lang="en-IN" sz="14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F6B5A"/>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s>
    <c:plotArea>
      <c:layout/>
      <c:barChart>
        <c:barDir val="bar"/>
        <c:grouping val="clustered"/>
        <c:varyColors val="0"/>
        <c:ser>
          <c:idx val="0"/>
          <c:order val="0"/>
          <c:tx>
            <c:strRef>
              <c:f>'Pivot Table'!$B$25</c:f>
              <c:strCache>
                <c:ptCount val="1"/>
                <c:pt idx="0">
                  <c:v>Sum of Total Sales</c:v>
                </c:pt>
              </c:strCache>
            </c:strRef>
          </c:tx>
          <c:spPr>
            <a:solidFill>
              <a:srgbClr val="3F6B5A"/>
            </a:solidFill>
            <a:ln w="9525" cap="flat" cmpd="sng" algn="ctr">
              <a:noFill/>
              <a:round/>
            </a:ln>
            <a:effectLst/>
          </c:spPr>
          <c:invertIfNegative val="0"/>
          <c:dPt>
            <c:idx val="4"/>
            <c:invertIfNegative val="0"/>
            <c:bubble3D val="0"/>
            <c:extLst>
              <c:ext xmlns:c16="http://schemas.microsoft.com/office/drawing/2014/chart" uri="{C3380CC4-5D6E-409C-BE32-E72D297353CC}">
                <c16:uniqueId val="{00000001-E29C-4D1F-896F-1EE7D30291BC}"/>
              </c:ext>
            </c:extLst>
          </c:dPt>
          <c:cat>
            <c:strRef>
              <c:f>'Pivot Table'!$A$26:$A$31</c:f>
              <c:strCache>
                <c:ptCount val="5"/>
                <c:pt idx="0">
                  <c:v>Keyboard</c:v>
                </c:pt>
                <c:pt idx="1">
                  <c:v>Tablet</c:v>
                </c:pt>
                <c:pt idx="2">
                  <c:v>Laptop</c:v>
                </c:pt>
                <c:pt idx="3">
                  <c:v>Headphones</c:v>
                </c:pt>
                <c:pt idx="4">
                  <c:v>Mouse</c:v>
                </c:pt>
              </c:strCache>
            </c:strRef>
          </c:cat>
          <c:val>
            <c:numRef>
              <c:f>'Pivot Table'!$B$26:$B$31</c:f>
              <c:numCache>
                <c:formatCode>General</c:formatCode>
                <c:ptCount val="5"/>
                <c:pt idx="0">
                  <c:v>21788480</c:v>
                </c:pt>
                <c:pt idx="1">
                  <c:v>22321206</c:v>
                </c:pt>
                <c:pt idx="2">
                  <c:v>22679860</c:v>
                </c:pt>
                <c:pt idx="3">
                  <c:v>26702878</c:v>
                </c:pt>
                <c:pt idx="4">
                  <c:v>28414941</c:v>
                </c:pt>
              </c:numCache>
            </c:numRef>
          </c:val>
          <c:extLst>
            <c:ext xmlns:c16="http://schemas.microsoft.com/office/drawing/2014/chart" uri="{C3380CC4-5D6E-409C-BE32-E72D297353CC}">
              <c16:uniqueId val="{00000000-A0DC-4556-A0CE-DE2698502A02}"/>
            </c:ext>
          </c:extLst>
        </c:ser>
        <c:ser>
          <c:idx val="1"/>
          <c:order val="1"/>
          <c:tx>
            <c:strRef>
              <c:f>'Pivot Table'!$C$25</c:f>
              <c:strCache>
                <c:ptCount val="1"/>
                <c:pt idx="0">
                  <c:v>Sum of Quantity</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 Table'!$A$26:$A$31</c:f>
              <c:strCache>
                <c:ptCount val="5"/>
                <c:pt idx="0">
                  <c:v>Keyboard</c:v>
                </c:pt>
                <c:pt idx="1">
                  <c:v>Tablet</c:v>
                </c:pt>
                <c:pt idx="2">
                  <c:v>Laptop</c:v>
                </c:pt>
                <c:pt idx="3">
                  <c:v>Headphones</c:v>
                </c:pt>
                <c:pt idx="4">
                  <c:v>Mouse</c:v>
                </c:pt>
              </c:strCache>
            </c:strRef>
          </c:cat>
          <c:val>
            <c:numRef>
              <c:f>'Pivot Table'!$C$26:$C$31</c:f>
              <c:numCache>
                <c:formatCode>General</c:formatCode>
                <c:ptCount val="5"/>
                <c:pt idx="0">
                  <c:v>836</c:v>
                </c:pt>
                <c:pt idx="1">
                  <c:v>909</c:v>
                </c:pt>
                <c:pt idx="2">
                  <c:v>815</c:v>
                </c:pt>
                <c:pt idx="3">
                  <c:v>1054</c:v>
                </c:pt>
                <c:pt idx="4">
                  <c:v>1096</c:v>
                </c:pt>
              </c:numCache>
            </c:numRef>
          </c:val>
          <c:extLst>
            <c:ext xmlns:c16="http://schemas.microsoft.com/office/drawing/2014/chart" uri="{C3380CC4-5D6E-409C-BE32-E72D297353CC}">
              <c16:uniqueId val="{00000001-ACC3-4B0D-8B82-06B853142CE0}"/>
            </c:ext>
          </c:extLst>
        </c:ser>
        <c:dLbls>
          <c:showLegendKey val="0"/>
          <c:showVal val="0"/>
          <c:showCatName val="0"/>
          <c:showSerName val="0"/>
          <c:showPercent val="0"/>
          <c:showBubbleSize val="0"/>
        </c:dLbls>
        <c:gapWidth val="150"/>
        <c:axId val="1189234112"/>
        <c:axId val="1189232448"/>
      </c:barChart>
      <c:catAx>
        <c:axId val="1189234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32448"/>
        <c:crosses val="autoZero"/>
        <c:auto val="1"/>
        <c:lblAlgn val="ctr"/>
        <c:lblOffset val="100"/>
        <c:noMultiLvlLbl val="0"/>
      </c:catAx>
      <c:valAx>
        <c:axId val="1189232448"/>
        <c:scaling>
          <c:orientation val="minMax"/>
        </c:scaling>
        <c:delete val="1"/>
        <c:axPos val="b"/>
        <c:numFmt formatCode="General" sourceLinked="1"/>
        <c:majorTickMark val="out"/>
        <c:minorTickMark val="none"/>
        <c:tickLblPos val="nextTo"/>
        <c:crossAx val="1189234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D9D9D9"/>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1.xlsx]Pivot Table!Region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solidFill>
                  <a:schemeClr val="tx1">
                    <a:lumMod val="65000"/>
                    <a:lumOff val="35000"/>
                  </a:schemeClr>
                </a:solidFill>
                <a:effectLst/>
              </a:rPr>
              <a:t>Region Total Sales</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8DB29A"/>
          </a:solidFill>
        </c:spPr>
        <c:marker>
          <c:symbol val="none"/>
        </c:marker>
        <c:dLbl>
          <c:idx val="0"/>
          <c:spPr>
            <a:noFill/>
            <a:ln>
              <a:noFill/>
            </a:ln>
            <a:effectLst/>
          </c:spPr>
          <c:txPr>
            <a:bodyPr wrap="square" lIns="38100" tIns="19050" rIns="38100" bIns="19050" anchor="ctr">
              <a:spAutoFit/>
            </a:bodyPr>
            <a:lstStyle/>
            <a:p>
              <a:pPr>
                <a:defRPr sz="1100">
                  <a:solidFill>
                    <a:schemeClr val="tx1">
                      <a:lumMod val="50000"/>
                      <a:lumOff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11111111111108E-2"/>
          <c:y val="0.14574444444444445"/>
          <c:w val="0.93791111111111114"/>
          <c:h val="0.74513777777777779"/>
        </c:manualLayout>
      </c:layout>
      <c:barChart>
        <c:barDir val="col"/>
        <c:grouping val="clustered"/>
        <c:varyColors val="0"/>
        <c:ser>
          <c:idx val="0"/>
          <c:order val="0"/>
          <c:tx>
            <c:strRef>
              <c:f>'Pivot Table'!$B$35</c:f>
              <c:strCache>
                <c:ptCount val="1"/>
                <c:pt idx="0">
                  <c:v>Total</c:v>
                </c:pt>
              </c:strCache>
            </c:strRef>
          </c:tx>
          <c:spPr>
            <a:solidFill>
              <a:srgbClr val="8DB29A"/>
            </a:solidFill>
          </c:spPr>
          <c:invertIfNegative val="0"/>
          <c:dLbls>
            <c:spPr>
              <a:noFill/>
              <a:ln>
                <a:noFill/>
              </a:ln>
              <a:effectLst/>
            </c:spPr>
            <c:txPr>
              <a:bodyPr wrap="square" lIns="38100" tIns="19050" rIns="38100" bIns="19050" anchor="ctr">
                <a:spAutoFit/>
              </a:bodyPr>
              <a:lstStyle/>
              <a:p>
                <a:pPr>
                  <a:defRPr sz="1100">
                    <a:solidFill>
                      <a:schemeClr val="tx1">
                        <a:lumMod val="50000"/>
                        <a:lumOff val="50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Table'!$A$36:$A$40</c:f>
              <c:strCache>
                <c:ptCount val="4"/>
                <c:pt idx="0">
                  <c:v>East</c:v>
                </c:pt>
                <c:pt idx="1">
                  <c:v>North</c:v>
                </c:pt>
                <c:pt idx="2">
                  <c:v>South</c:v>
                </c:pt>
                <c:pt idx="3">
                  <c:v>West</c:v>
                </c:pt>
              </c:strCache>
            </c:strRef>
          </c:cat>
          <c:val>
            <c:numRef>
              <c:f>'Pivot Table'!$B$36:$B$40</c:f>
              <c:numCache>
                <c:formatCode>0.0,,"M"</c:formatCode>
                <c:ptCount val="4"/>
                <c:pt idx="0">
                  <c:v>39837261</c:v>
                </c:pt>
                <c:pt idx="1">
                  <c:v>39009048</c:v>
                </c:pt>
                <c:pt idx="2">
                  <c:v>38022781</c:v>
                </c:pt>
                <c:pt idx="3">
                  <c:v>25599149</c:v>
                </c:pt>
              </c:numCache>
            </c:numRef>
          </c:val>
          <c:extLst>
            <c:ext xmlns:c16="http://schemas.microsoft.com/office/drawing/2014/chart" uri="{C3380CC4-5D6E-409C-BE32-E72D297353CC}">
              <c16:uniqueId val="{00000004-B42C-40B7-8816-46466A45BA3C}"/>
            </c:ext>
          </c:extLst>
        </c:ser>
        <c:dLbls>
          <c:dLblPos val="outEnd"/>
          <c:showLegendKey val="0"/>
          <c:showVal val="1"/>
          <c:showCatName val="0"/>
          <c:showSerName val="0"/>
          <c:showPercent val="0"/>
          <c:showBubbleSize val="0"/>
        </c:dLbls>
        <c:gapWidth val="150"/>
        <c:axId val="1783814576"/>
        <c:axId val="1783810000"/>
      </c:barChart>
      <c:catAx>
        <c:axId val="17838145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810000"/>
        <c:crosses val="autoZero"/>
        <c:auto val="1"/>
        <c:lblAlgn val="ctr"/>
        <c:lblOffset val="100"/>
        <c:noMultiLvlLbl val="0"/>
      </c:catAx>
      <c:valAx>
        <c:axId val="1783810000"/>
        <c:scaling>
          <c:orientation val="minMax"/>
        </c:scaling>
        <c:delete val="1"/>
        <c:axPos val="l"/>
        <c:numFmt formatCode="0.0,,&quot;M&quot;" sourceLinked="1"/>
        <c:majorTickMark val="out"/>
        <c:minorTickMark val="none"/>
        <c:tickLblPos val="nextTo"/>
        <c:crossAx val="1783814576"/>
        <c:crosses val="autoZero"/>
        <c:crossBetween val="between"/>
      </c:valAx>
    </c:plotArea>
    <c:plotVisOnly val="1"/>
    <c:dispBlanksAs val="gap"/>
    <c:showDLblsOverMax val="0"/>
    <c:extLst/>
  </c:chart>
  <c:spPr>
    <a:solidFill>
      <a:schemeClr val="bg1"/>
    </a:solidFill>
    <a:ln w="12700" cap="flat" cmpd="sng" algn="ctr">
      <a:solidFill>
        <a:srgbClr val="D9D9D9"/>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1.xlsx]Pivot Table!PivotTable2</c:name>
    <c:fmtId val="25"/>
  </c:pivotSource>
  <c:chart>
    <c:title>
      <c:tx>
        <c:rich>
          <a:bodyPr rot="0" spcFirstLastPara="1" vertOverflow="ellipsis" vert="horz" wrap="square" anchor="ctr" anchorCtr="1"/>
          <a:lstStyle/>
          <a:p>
            <a:pPr>
              <a:defRPr sz="1400" b="0" i="0" u="none" strike="noStrike" kern="1200" cap="none" spc="20" baseline="0">
                <a:solidFill>
                  <a:schemeClr val="tx1">
                    <a:lumMod val="65000"/>
                    <a:lumOff val="35000"/>
                  </a:schemeClr>
                </a:solidFill>
                <a:latin typeface="+mn-lt"/>
                <a:ea typeface="+mn-ea"/>
                <a:cs typeface="+mn-cs"/>
              </a:defRPr>
            </a:pPr>
            <a:r>
              <a:rPr lang="en-IN" sz="1400" b="0" i="0" u="none" strike="noStrike" cap="none" baseline="0">
                <a:solidFill>
                  <a:schemeClr val="tx1">
                    <a:lumMod val="65000"/>
                    <a:lumOff val="35000"/>
                  </a:schemeClr>
                </a:solidFill>
              </a:rPr>
              <a:t>Monthly Sales Trend</a:t>
            </a:r>
            <a:endParaRPr lang="en-US" sz="14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1"/>
            </a:solidFill>
            <a:round/>
          </a:ln>
          <a:effectLst>
            <a:outerShdw blurRad="40000" dist="20000" dir="5400000" rotWithShape="0">
              <a:srgbClr val="000000">
                <a:alpha val="38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3.0555555555555555E-2"/>
          <c:y val="0.13365522018081072"/>
          <c:w val="0.93888888888888888"/>
          <c:h val="0.66737350539515894"/>
        </c:manualLayout>
      </c:layout>
      <c:lineChart>
        <c:grouping val="standard"/>
        <c:varyColors val="1"/>
        <c:ser>
          <c:idx val="0"/>
          <c:order val="0"/>
          <c:tx>
            <c:strRef>
              <c:f>'Pivot Table'!$G$9</c:f>
              <c:strCache>
                <c:ptCount val="1"/>
                <c:pt idx="0">
                  <c:v>Total</c:v>
                </c:pt>
              </c:strCache>
            </c:strRef>
          </c:tx>
          <c:spPr>
            <a:ln w="25400"/>
          </c:spPr>
          <c:marker>
            <c:symbol val="circle"/>
            <c:size val="6"/>
          </c:marker>
          <c:dPt>
            <c:idx val="0"/>
            <c:marker>
              <c:symbol val="circle"/>
              <c:size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bubble3D val="0"/>
            <c:spPr>
              <a:ln w="25400" cap="rnd">
                <a:solidFill>
                  <a:schemeClr val="accent1"/>
                </a:solidFill>
                <a:round/>
              </a:ln>
              <a:effectLst>
                <a:outerShdw blurRad="40000" dist="20000" dir="5400000" rotWithShape="0">
                  <a:srgbClr val="000000">
                    <a:alpha val="38000"/>
                  </a:srgbClr>
                </a:outerShdw>
              </a:effectLst>
            </c:spPr>
          </c:dPt>
          <c:dPt>
            <c:idx val="1"/>
            <c:marker>
              <c:symbol val="circle"/>
              <c:size val="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bubble3D val="0"/>
            <c:spPr>
              <a:ln w="25400" cap="rnd">
                <a:solidFill>
                  <a:schemeClr val="accent2"/>
                </a:solidFill>
                <a:round/>
              </a:ln>
              <a:effectLst>
                <a:outerShdw blurRad="40000" dist="20000" dir="5400000" rotWithShape="0">
                  <a:srgbClr val="000000">
                    <a:alpha val="38000"/>
                  </a:srgbClr>
                </a:outerShdw>
              </a:effectLst>
            </c:spPr>
          </c:dPt>
          <c:dPt>
            <c:idx val="2"/>
            <c:marker>
              <c:symbol val="circle"/>
              <c:size val="6"/>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bubble3D val="0"/>
            <c:spPr>
              <a:ln w="25400" cap="rnd">
                <a:solidFill>
                  <a:schemeClr val="accent3"/>
                </a:solidFill>
                <a:round/>
              </a:ln>
              <a:effectLst>
                <a:outerShdw blurRad="40000" dist="20000" dir="5400000" rotWithShape="0">
                  <a:srgbClr val="000000">
                    <a:alpha val="38000"/>
                  </a:srgbClr>
                </a:outerShdw>
              </a:effectLst>
            </c:spPr>
          </c:dPt>
          <c:dPt>
            <c:idx val="3"/>
            <c:marker>
              <c:symbol val="circle"/>
              <c:size val="6"/>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bubble3D val="0"/>
            <c:spPr>
              <a:ln w="25400" cap="rnd">
                <a:solidFill>
                  <a:schemeClr val="accent4"/>
                </a:solidFill>
                <a:round/>
              </a:ln>
              <a:effectLst>
                <a:outerShdw blurRad="40000" dist="20000" dir="5400000" rotWithShape="0">
                  <a:srgbClr val="000000">
                    <a:alpha val="38000"/>
                  </a:srgbClr>
                </a:outerShdw>
              </a:effectLst>
            </c:spPr>
          </c:dPt>
          <c:dPt>
            <c:idx val="4"/>
            <c:marker>
              <c:symbol val="circle"/>
              <c:size val="6"/>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bubble3D val="0"/>
            <c:spPr>
              <a:ln w="25400" cap="rnd">
                <a:solidFill>
                  <a:schemeClr val="accent5"/>
                </a:solidFill>
                <a:round/>
              </a:ln>
              <a:effectLst>
                <a:outerShdw blurRad="40000" dist="20000" dir="5400000" rotWithShape="0">
                  <a:srgbClr val="000000">
                    <a:alpha val="38000"/>
                  </a:srgbClr>
                </a:outerShdw>
              </a:effectLst>
            </c:spPr>
          </c:dPt>
          <c:dPt>
            <c:idx val="5"/>
            <c:marker>
              <c:symbol val="circle"/>
              <c:size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bubble3D val="0"/>
            <c:spPr>
              <a:ln w="25400" cap="rnd">
                <a:solidFill>
                  <a:schemeClr val="accent6"/>
                </a:solidFill>
                <a:round/>
              </a:ln>
              <a:effectLst>
                <a:outerShdw blurRad="40000" dist="20000" dir="5400000" rotWithShape="0">
                  <a:srgbClr val="000000">
                    <a:alpha val="38000"/>
                  </a:srgbClr>
                </a:outerShdw>
              </a:effectLst>
            </c:spPr>
          </c:dPt>
          <c:dPt>
            <c:idx val="6"/>
            <c:marker>
              <c:symbol val="circle"/>
              <c:size val="6"/>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1">
                    <a:lumMod val="60000"/>
                  </a:schemeClr>
                </a:solidFill>
                <a:round/>
              </a:ln>
              <a:effectLst>
                <a:outerShdw blurRad="40000" dist="20000" dir="5400000" rotWithShape="0">
                  <a:srgbClr val="000000">
                    <a:alpha val="38000"/>
                  </a:srgbClr>
                </a:outerShdw>
              </a:effectLst>
            </c:spPr>
          </c:dPt>
          <c:dPt>
            <c:idx val="7"/>
            <c:marker>
              <c:symbol val="circle"/>
              <c:size val="6"/>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2">
                    <a:lumMod val="60000"/>
                  </a:schemeClr>
                </a:solidFill>
                <a:round/>
              </a:ln>
              <a:effectLst>
                <a:outerShdw blurRad="40000" dist="20000" dir="5400000" rotWithShape="0">
                  <a:srgbClr val="000000">
                    <a:alpha val="38000"/>
                  </a:srgbClr>
                </a:outerShdw>
              </a:effectLst>
            </c:spPr>
          </c:dPt>
          <c:dPt>
            <c:idx val="8"/>
            <c:marker>
              <c:symbol val="circle"/>
              <c:size val="6"/>
              <c:spPr>
                <a:gradFill rotWithShape="1">
                  <a:gsLst>
                    <a:gs pos="0">
                      <a:schemeClr val="accent3">
                        <a:lumMod val="60000"/>
                        <a:tint val="50000"/>
                        <a:satMod val="300000"/>
                      </a:schemeClr>
                    </a:gs>
                    <a:gs pos="35000">
                      <a:schemeClr val="accent3">
                        <a:lumMod val="60000"/>
                        <a:tint val="37000"/>
                        <a:satMod val="300000"/>
                      </a:schemeClr>
                    </a:gs>
                    <a:gs pos="100000">
                      <a:schemeClr val="accent3">
                        <a:lumMod val="60000"/>
                        <a:tint val="15000"/>
                        <a:satMod val="350000"/>
                      </a:schemeClr>
                    </a:gs>
                  </a:gsLst>
                  <a:lin ang="16200000" scaled="1"/>
                </a:gradFill>
                <a:ln w="9525" cap="flat" cmpd="sng" algn="ctr">
                  <a:solidFill>
                    <a:schemeClr val="accent3">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3">
                    <a:lumMod val="60000"/>
                  </a:schemeClr>
                </a:solidFill>
                <a:round/>
              </a:ln>
              <a:effectLst>
                <a:outerShdw blurRad="40000" dist="20000" dir="5400000" rotWithShape="0">
                  <a:srgbClr val="000000">
                    <a:alpha val="38000"/>
                  </a:srgbClr>
                </a:outerShdw>
              </a:effectLst>
            </c:spPr>
          </c:dPt>
          <c:dPt>
            <c:idx val="9"/>
            <c:marker>
              <c:symbol val="circle"/>
              <c:size val="6"/>
              <c:spPr>
                <a:gradFill rotWithShape="1">
                  <a:gsLst>
                    <a:gs pos="0">
                      <a:schemeClr val="accent4">
                        <a:lumMod val="60000"/>
                        <a:tint val="50000"/>
                        <a:satMod val="300000"/>
                      </a:schemeClr>
                    </a:gs>
                    <a:gs pos="35000">
                      <a:schemeClr val="accent4">
                        <a:lumMod val="60000"/>
                        <a:tint val="37000"/>
                        <a:satMod val="300000"/>
                      </a:schemeClr>
                    </a:gs>
                    <a:gs pos="100000">
                      <a:schemeClr val="accent4">
                        <a:lumMod val="60000"/>
                        <a:tint val="15000"/>
                        <a:satMod val="350000"/>
                      </a:schemeClr>
                    </a:gs>
                  </a:gsLst>
                  <a:lin ang="16200000" scaled="1"/>
                </a:gradFill>
                <a:ln w="9525" cap="flat" cmpd="sng" algn="ctr">
                  <a:solidFill>
                    <a:schemeClr val="accent4">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4">
                    <a:lumMod val="60000"/>
                  </a:schemeClr>
                </a:solidFill>
                <a:round/>
              </a:ln>
              <a:effectLst>
                <a:outerShdw blurRad="40000" dist="20000" dir="5400000" rotWithShape="0">
                  <a:srgbClr val="000000">
                    <a:alpha val="38000"/>
                  </a:srgbClr>
                </a:outerShdw>
              </a:effectLst>
            </c:spPr>
          </c:dPt>
          <c:dPt>
            <c:idx val="10"/>
            <c:marker>
              <c:symbol val="circle"/>
              <c:size val="6"/>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5">
                    <a:lumMod val="60000"/>
                  </a:schemeClr>
                </a:solidFill>
                <a:round/>
              </a:ln>
              <a:effectLst>
                <a:outerShdw blurRad="40000" dist="20000" dir="5400000" rotWithShape="0">
                  <a:srgbClr val="000000">
                    <a:alpha val="38000"/>
                  </a:srgbClr>
                </a:outerShdw>
              </a:effectLst>
            </c:spPr>
          </c:dPt>
          <c:dPt>
            <c:idx val="11"/>
            <c:marker>
              <c:symbol val="circle"/>
              <c:size val="6"/>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6">
                    <a:lumMod val="60000"/>
                  </a:schemeClr>
                </a:solidFill>
                <a:round/>
              </a:ln>
              <a:effectLst>
                <a:outerShdw blurRad="40000" dist="20000" dir="5400000" rotWithShape="0">
                  <a:srgbClr val="000000">
                    <a:alpha val="38000"/>
                  </a:srgbClr>
                </a:outerShdw>
              </a:effectLst>
            </c:spPr>
          </c:dPt>
          <c:cat>
            <c:strRef>
              <c:f>'Pivot Table'!$F$10:$F$22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Table'!$G$10:$G$22</c:f>
              <c:numCache>
                <c:formatCode>General</c:formatCode>
                <c:ptCount val="12"/>
                <c:pt idx="0">
                  <c:v>12936993</c:v>
                </c:pt>
                <c:pt idx="1">
                  <c:v>10649337</c:v>
                </c:pt>
                <c:pt idx="2">
                  <c:v>12459588</c:v>
                </c:pt>
                <c:pt idx="3">
                  <c:v>12930590</c:v>
                </c:pt>
                <c:pt idx="4">
                  <c:v>12674267</c:v>
                </c:pt>
                <c:pt idx="5">
                  <c:v>12581980</c:v>
                </c:pt>
                <c:pt idx="6">
                  <c:v>12273000</c:v>
                </c:pt>
                <c:pt idx="7">
                  <c:v>12619558</c:v>
                </c:pt>
                <c:pt idx="8">
                  <c:v>11664847</c:v>
                </c:pt>
                <c:pt idx="9">
                  <c:v>13324142</c:v>
                </c:pt>
                <c:pt idx="10">
                  <c:v>8889346</c:v>
                </c:pt>
                <c:pt idx="11">
                  <c:v>9464591</c:v>
                </c:pt>
              </c:numCache>
            </c:numRef>
          </c:val>
          <c:smooth val="0"/>
          <c:extLst>
            <c:ext xmlns:c16="http://schemas.microsoft.com/office/drawing/2014/chart" uri="{C3380CC4-5D6E-409C-BE32-E72D297353CC}">
              <c16:uniqueId val="{00000002-3C25-405E-95E9-7D03C0876D60}"/>
            </c:ext>
          </c:extLst>
        </c:ser>
        <c:dLbls>
          <c:showLegendKey val="0"/>
          <c:showVal val="0"/>
          <c:showCatName val="0"/>
          <c:showSerName val="0"/>
          <c:showPercent val="0"/>
          <c:showBubbleSize val="0"/>
        </c:dLbls>
        <c:marker val="1"/>
        <c:smooth val="0"/>
        <c:axId val="1563806496"/>
        <c:axId val="1563811488"/>
      </c:lineChart>
      <c:catAx>
        <c:axId val="15638064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811488"/>
        <c:crosses val="autoZero"/>
        <c:auto val="1"/>
        <c:lblAlgn val="ctr"/>
        <c:lblOffset val="100"/>
        <c:noMultiLvlLbl val="0"/>
      </c:catAx>
      <c:valAx>
        <c:axId val="1563811488"/>
        <c:scaling>
          <c:orientation val="minMax"/>
        </c:scaling>
        <c:delete val="1"/>
        <c:axPos val="l"/>
        <c:numFmt formatCode="General" sourceLinked="1"/>
        <c:majorTickMark val="out"/>
        <c:minorTickMark val="none"/>
        <c:tickLblPos val="nextTo"/>
        <c:crossAx val="156380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D9D9D9"/>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chart" Target="../charts/chart4.xml"/><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chart" Target="../charts/chart3.xml"/><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10</xdr:col>
      <xdr:colOff>382490</xdr:colOff>
      <xdr:row>28</xdr:row>
      <xdr:rowOff>43132</xdr:rowOff>
    </xdr:from>
    <xdr:to>
      <xdr:col>18</xdr:col>
      <xdr:colOff>5690</xdr:colOff>
      <xdr:row>43</xdr:row>
      <xdr:rowOff>68133</xdr:rowOff>
    </xdr:to>
    <xdr:graphicFrame macro="">
      <xdr:nvGraphicFramePr>
        <xdr:cNvPr id="29" name="Chart 28">
          <a:extLst>
            <a:ext uri="{FF2B5EF4-FFF2-40B4-BE49-F238E27FC236}">
              <a16:creationId xmlns:a16="http://schemas.microsoft.com/office/drawing/2014/main" id="{DC324AA8-DBD1-4788-8B7E-D835E9CB8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165099</xdr:colOff>
      <xdr:row>12</xdr:row>
      <xdr:rowOff>4367</xdr:rowOff>
    </xdr:from>
    <xdr:to>
      <xdr:col>23</xdr:col>
      <xdr:colOff>213099</xdr:colOff>
      <xdr:row>27</xdr:row>
      <xdr:rowOff>37367</xdr:rowOff>
    </xdr:to>
    <xdr:graphicFrame macro="">
      <xdr:nvGraphicFramePr>
        <xdr:cNvPr id="31" name="Chart 30">
          <a:extLst>
            <a:ext uri="{FF2B5EF4-FFF2-40B4-BE49-F238E27FC236}">
              <a16:creationId xmlns:a16="http://schemas.microsoft.com/office/drawing/2014/main" id="{A3737441-D850-45D7-BDB3-5C3D29671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343859</xdr:colOff>
      <xdr:row>28</xdr:row>
      <xdr:rowOff>21396</xdr:rowOff>
    </xdr:from>
    <xdr:to>
      <xdr:col>2</xdr:col>
      <xdr:colOff>352096</xdr:colOff>
      <xdr:row>33</xdr:row>
      <xdr:rowOff>8697</xdr:rowOff>
    </xdr:to>
    <mc:AlternateContent xmlns:mc="http://schemas.openxmlformats.org/markup-compatibility/2006">
      <mc:Choice xmlns:a14="http://schemas.microsoft.com/office/drawing/2010/main" Requires="a14">
        <xdr:graphicFrame macro="">
          <xdr:nvGraphicFramePr>
            <xdr:cNvPr id="37" name="Category 1">
              <a:extLst>
                <a:ext uri="{FF2B5EF4-FFF2-40B4-BE49-F238E27FC236}">
                  <a16:creationId xmlns:a16="http://schemas.microsoft.com/office/drawing/2014/main" id="{5E5C87FC-4AB0-4F6E-9D50-7A6CC7C7E12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43859" y="5355396"/>
              <a:ext cx="1227437" cy="939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283029</xdr:colOff>
      <xdr:row>9</xdr:row>
      <xdr:rowOff>163286</xdr:rowOff>
    </xdr:from>
    <xdr:ext cx="184731" cy="264560"/>
    <xdr:sp macro="" textlink="">
      <xdr:nvSpPr>
        <xdr:cNvPr id="2" name="TextBox 1">
          <a:extLst>
            <a:ext uri="{FF2B5EF4-FFF2-40B4-BE49-F238E27FC236}">
              <a16:creationId xmlns:a16="http://schemas.microsoft.com/office/drawing/2014/main" id="{C7C22032-EBC1-4C33-9F96-596B8AD30534}"/>
            </a:ext>
          </a:extLst>
        </xdr:cNvPr>
        <xdr:cNvSpPr txBox="1"/>
      </xdr:nvSpPr>
      <xdr:spPr>
        <a:xfrm>
          <a:off x="3940629" y="1458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42858</xdr:colOff>
      <xdr:row>6</xdr:row>
      <xdr:rowOff>170995</xdr:rowOff>
    </xdr:from>
    <xdr:to>
      <xdr:col>10</xdr:col>
      <xdr:colOff>554059</xdr:colOff>
      <xdr:row>11</xdr:row>
      <xdr:rowOff>25400</xdr:rowOff>
    </xdr:to>
    <xdr:grpSp>
      <xdr:nvGrpSpPr>
        <xdr:cNvPr id="18" name="Group 17">
          <a:extLst>
            <a:ext uri="{FF2B5EF4-FFF2-40B4-BE49-F238E27FC236}">
              <a16:creationId xmlns:a16="http://schemas.microsoft.com/office/drawing/2014/main" id="{1397D7B8-97A8-481B-859E-B7DF1DB3AE26}"/>
            </a:ext>
          </a:extLst>
        </xdr:cNvPr>
        <xdr:cNvGrpSpPr/>
      </xdr:nvGrpSpPr>
      <xdr:grpSpPr>
        <a:xfrm>
          <a:off x="4310058" y="1313995"/>
          <a:ext cx="2340001" cy="806905"/>
          <a:chOff x="6346363" y="892627"/>
          <a:chExt cx="2471056" cy="783772"/>
        </a:xfrm>
        <a:effectLst>
          <a:outerShdw blurRad="50800" dist="38100" dir="2700000" algn="tl" rotWithShape="0">
            <a:prstClr val="black">
              <a:alpha val="40000"/>
            </a:prstClr>
          </a:outerShdw>
        </a:effectLst>
      </xdr:grpSpPr>
      <xdr:grpSp>
        <xdr:nvGrpSpPr>
          <xdr:cNvPr id="16" name="Group 15">
            <a:extLst>
              <a:ext uri="{FF2B5EF4-FFF2-40B4-BE49-F238E27FC236}">
                <a16:creationId xmlns:a16="http://schemas.microsoft.com/office/drawing/2014/main" id="{72C3C223-470C-48C9-AC66-606E44DD611C}"/>
              </a:ext>
            </a:extLst>
          </xdr:cNvPr>
          <xdr:cNvGrpSpPr/>
        </xdr:nvGrpSpPr>
        <xdr:grpSpPr>
          <a:xfrm>
            <a:off x="6346363" y="892627"/>
            <a:ext cx="2471056" cy="783772"/>
            <a:chOff x="6455225" y="903513"/>
            <a:chExt cx="2471058" cy="783772"/>
          </a:xfrm>
        </xdr:grpSpPr>
        <xdr:sp macro="" textlink="'Pivot Table'!H3">
          <xdr:nvSpPr>
            <xdr:cNvPr id="52" name="Rectangle: Rounded Corners 51">
              <a:extLst>
                <a:ext uri="{FF2B5EF4-FFF2-40B4-BE49-F238E27FC236}">
                  <a16:creationId xmlns:a16="http://schemas.microsoft.com/office/drawing/2014/main" id="{74C12895-FF3C-4AAE-924C-D82B64070911}"/>
                </a:ext>
              </a:extLst>
            </xdr:cNvPr>
            <xdr:cNvSpPr/>
          </xdr:nvSpPr>
          <xdr:spPr>
            <a:xfrm>
              <a:off x="6455225" y="903513"/>
              <a:ext cx="2471058" cy="783772"/>
            </a:xfrm>
            <a:prstGeom prst="roundRect">
              <a:avLst/>
            </a:prstGeom>
            <a:solidFill>
              <a:schemeClr val="bg1"/>
            </a:solid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297C2F8B-C35F-43CC-B3E1-27467B5F1924}" type="TxLink">
                <a:rPr lang="en-US" sz="2400" b="1" i="0" u="none" strike="noStrike">
                  <a:solidFill>
                    <a:srgbClr val="000000"/>
                  </a:solidFill>
                  <a:latin typeface="Calibri"/>
                  <a:cs typeface="Calibri"/>
                </a:rPr>
                <a:pPr algn="l"/>
                <a:t>27.8M</a:t>
              </a:fld>
              <a:endParaRPr lang="en-US" sz="2400" b="1">
                <a:latin typeface="Arial" panose="020B0604020202020204" pitchFamily="34" charset="0"/>
                <a:cs typeface="Arial" panose="020B0604020202020204" pitchFamily="34" charset="0"/>
              </a:endParaRPr>
            </a:p>
          </xdr:txBody>
        </xdr:sp>
        <xdr:sp macro="" textlink="">
          <xdr:nvSpPr>
            <xdr:cNvPr id="7" name="TextBox 6">
              <a:extLst>
                <a:ext uri="{FF2B5EF4-FFF2-40B4-BE49-F238E27FC236}">
                  <a16:creationId xmlns:a16="http://schemas.microsoft.com/office/drawing/2014/main" id="{F551E222-A13E-4152-BA9A-6DE6F9050559}"/>
                </a:ext>
              </a:extLst>
            </xdr:cNvPr>
            <xdr:cNvSpPr txBox="1"/>
          </xdr:nvSpPr>
          <xdr:spPr>
            <a:xfrm>
              <a:off x="6531428" y="971422"/>
              <a:ext cx="1693305" cy="3198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IN" sz="1400" b="1">
                  <a:solidFill>
                    <a:schemeClr val="tx1">
                      <a:lumMod val="65000"/>
                      <a:lumOff val="35000"/>
                    </a:schemeClr>
                  </a:solidFill>
                </a:rPr>
                <a:t>TOTAL PROFIT</a:t>
              </a:r>
            </a:p>
          </xdr:txBody>
        </xdr:sp>
      </xdr:grpSp>
      <xdr:pic>
        <xdr:nvPicPr>
          <xdr:cNvPr id="32" name="Graphic 31" descr="Chevron arrows with solid fill">
            <a:extLst>
              <a:ext uri="{FF2B5EF4-FFF2-40B4-BE49-F238E27FC236}">
                <a16:creationId xmlns:a16="http://schemas.microsoft.com/office/drawing/2014/main" id="{B5C09A74-AD7F-46A1-AFDB-C43C058A011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188003" y="1055855"/>
            <a:ext cx="531087" cy="530229"/>
          </a:xfrm>
          <a:prstGeom prst="rect">
            <a:avLst/>
          </a:prstGeom>
        </xdr:spPr>
      </xdr:pic>
    </xdr:grpSp>
    <xdr:clientData/>
  </xdr:twoCellAnchor>
  <xdr:twoCellAnchor>
    <xdr:from>
      <xdr:col>2</xdr:col>
      <xdr:colOff>566049</xdr:colOff>
      <xdr:row>6</xdr:row>
      <xdr:rowOff>170995</xdr:rowOff>
    </xdr:from>
    <xdr:to>
      <xdr:col>6</xdr:col>
      <xdr:colOff>467649</xdr:colOff>
      <xdr:row>11</xdr:row>
      <xdr:rowOff>25400</xdr:rowOff>
    </xdr:to>
    <xdr:grpSp>
      <xdr:nvGrpSpPr>
        <xdr:cNvPr id="21" name="Group 20">
          <a:extLst>
            <a:ext uri="{FF2B5EF4-FFF2-40B4-BE49-F238E27FC236}">
              <a16:creationId xmlns:a16="http://schemas.microsoft.com/office/drawing/2014/main" id="{F3C71C04-FAA0-4464-9347-29AD7742845E}"/>
            </a:ext>
          </a:extLst>
        </xdr:cNvPr>
        <xdr:cNvGrpSpPr/>
      </xdr:nvGrpSpPr>
      <xdr:grpSpPr>
        <a:xfrm>
          <a:off x="1785249" y="1313995"/>
          <a:ext cx="2340000" cy="806905"/>
          <a:chOff x="3657599" y="914399"/>
          <a:chExt cx="2471058" cy="783772"/>
        </a:xfrm>
        <a:effectLst>
          <a:outerShdw blurRad="50800" dist="38100" dir="2700000" algn="tl" rotWithShape="0">
            <a:schemeClr val="tx1">
              <a:alpha val="40000"/>
            </a:schemeClr>
          </a:outerShdw>
        </a:effectLst>
      </xdr:grpSpPr>
      <xdr:grpSp>
        <xdr:nvGrpSpPr>
          <xdr:cNvPr id="17" name="Group 16">
            <a:extLst>
              <a:ext uri="{FF2B5EF4-FFF2-40B4-BE49-F238E27FC236}">
                <a16:creationId xmlns:a16="http://schemas.microsoft.com/office/drawing/2014/main" id="{E31FCFAC-4BE9-4A78-B8FB-6ADC58B7D2B4}"/>
              </a:ext>
            </a:extLst>
          </xdr:cNvPr>
          <xdr:cNvGrpSpPr/>
        </xdr:nvGrpSpPr>
        <xdr:grpSpPr>
          <a:xfrm>
            <a:off x="3657599" y="914399"/>
            <a:ext cx="2471058" cy="783772"/>
            <a:chOff x="3657599" y="914399"/>
            <a:chExt cx="2471058" cy="783772"/>
          </a:xfrm>
        </xdr:grpSpPr>
        <xdr:sp macro="" textlink="'Pivot Table'!H2">
          <xdr:nvSpPr>
            <xdr:cNvPr id="5" name="Rectangle: Rounded Corners 4">
              <a:extLst>
                <a:ext uri="{FF2B5EF4-FFF2-40B4-BE49-F238E27FC236}">
                  <a16:creationId xmlns:a16="http://schemas.microsoft.com/office/drawing/2014/main" id="{F8B9FE8B-B68B-4DA2-8D98-3DCD5A4D40F5}"/>
                </a:ext>
              </a:extLst>
            </xdr:cNvPr>
            <xdr:cNvSpPr/>
          </xdr:nvSpPr>
          <xdr:spPr>
            <a:xfrm>
              <a:off x="3657599" y="914399"/>
              <a:ext cx="2471058" cy="783772"/>
            </a:xfrm>
            <a:prstGeom prst="roundRect">
              <a:avLst/>
            </a:prstGeom>
            <a:solidFill>
              <a:schemeClr val="bg1"/>
            </a:solid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1F6426C5-BFAE-4766-9086-1A2576BD77BA}" type="TxLink">
                <a:rPr lang="en-US" sz="2400" b="1" i="0" u="none" strike="noStrike">
                  <a:solidFill>
                    <a:srgbClr val="000000"/>
                  </a:solidFill>
                  <a:latin typeface="Calibri"/>
                  <a:cs typeface="Calibri"/>
                </a:rPr>
                <a:pPr algn="l"/>
                <a:t>142.5M</a:t>
              </a:fld>
              <a:endParaRPr lang="en-US" sz="2400" b="1"/>
            </a:p>
          </xdr:txBody>
        </xdr:sp>
        <xdr:sp macro="" textlink="">
          <xdr:nvSpPr>
            <xdr:cNvPr id="6" name="TextBox 5">
              <a:extLst>
                <a:ext uri="{FF2B5EF4-FFF2-40B4-BE49-F238E27FC236}">
                  <a16:creationId xmlns:a16="http://schemas.microsoft.com/office/drawing/2014/main" id="{A57093E5-9D32-4836-A16A-840F210CB0F7}"/>
                </a:ext>
              </a:extLst>
            </xdr:cNvPr>
            <xdr:cNvSpPr txBox="1"/>
          </xdr:nvSpPr>
          <xdr:spPr>
            <a:xfrm>
              <a:off x="3755570" y="979714"/>
              <a:ext cx="1673234" cy="3188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400" b="1">
                  <a:solidFill>
                    <a:schemeClr val="tx1">
                      <a:lumMod val="65000"/>
                      <a:lumOff val="35000"/>
                    </a:schemeClr>
                  </a:solidFill>
                </a:rPr>
                <a:t>TOTAL SALES</a:t>
              </a:r>
            </a:p>
          </xdr:txBody>
        </xdr:sp>
      </xdr:grpSp>
      <xdr:pic>
        <xdr:nvPicPr>
          <xdr:cNvPr id="20" name="Graphic 19" descr="Money with solid fill">
            <a:extLst>
              <a:ext uri="{FF2B5EF4-FFF2-40B4-BE49-F238E27FC236}">
                <a16:creationId xmlns:a16="http://schemas.microsoft.com/office/drawing/2014/main" id="{76D4A2CE-1238-499A-B403-4141CDC21C0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512646" y="1014694"/>
            <a:ext cx="531087" cy="530229"/>
          </a:xfrm>
          <a:prstGeom prst="rect">
            <a:avLst/>
          </a:prstGeom>
        </xdr:spPr>
      </xdr:pic>
    </xdr:grpSp>
    <xdr:clientData/>
  </xdr:twoCellAnchor>
  <xdr:twoCellAnchor>
    <xdr:from>
      <xdr:col>0</xdr:col>
      <xdr:colOff>326571</xdr:colOff>
      <xdr:row>2</xdr:row>
      <xdr:rowOff>1</xdr:rowOff>
    </xdr:from>
    <xdr:to>
      <xdr:col>23</xdr:col>
      <xdr:colOff>239486</xdr:colOff>
      <xdr:row>5</xdr:row>
      <xdr:rowOff>163287</xdr:rowOff>
    </xdr:to>
    <xdr:sp macro="" textlink="">
      <xdr:nvSpPr>
        <xdr:cNvPr id="67" name="Rectangle 66">
          <a:extLst>
            <a:ext uri="{FF2B5EF4-FFF2-40B4-BE49-F238E27FC236}">
              <a16:creationId xmlns:a16="http://schemas.microsoft.com/office/drawing/2014/main" id="{67DB4734-4885-4BF6-992F-44A9225DB9C0}"/>
            </a:ext>
          </a:extLst>
        </xdr:cNvPr>
        <xdr:cNvSpPr/>
      </xdr:nvSpPr>
      <xdr:spPr>
        <a:xfrm>
          <a:off x="326571" y="355601"/>
          <a:ext cx="13933715" cy="69668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rgbClr val="3F6B5A"/>
              </a:solidFill>
              <a:latin typeface="Arial Black" panose="020B0A04020102020204" pitchFamily="34" charset="0"/>
            </a:rPr>
            <a:t>SALES</a:t>
          </a:r>
          <a:r>
            <a:rPr lang="en-IN" sz="3600" baseline="0">
              <a:solidFill>
                <a:srgbClr val="3F6B5A"/>
              </a:solidFill>
            </a:rPr>
            <a:t> </a:t>
          </a:r>
          <a:r>
            <a:rPr lang="en-IN" sz="3600" baseline="0">
              <a:solidFill>
                <a:srgbClr val="3F6B5A"/>
              </a:solidFill>
              <a:latin typeface="Arial Black" panose="020B0A04020102020204" pitchFamily="34" charset="0"/>
            </a:rPr>
            <a:t>DASHBOARD</a:t>
          </a:r>
          <a:endParaRPr lang="en-IN" sz="1100">
            <a:solidFill>
              <a:srgbClr val="3F6B5A"/>
            </a:solidFill>
            <a:latin typeface="Arial Black" panose="020B0A04020102020204" pitchFamily="34" charset="0"/>
          </a:endParaRPr>
        </a:p>
      </xdr:txBody>
    </xdr:sp>
    <xdr:clientData/>
  </xdr:twoCellAnchor>
  <xdr:twoCellAnchor>
    <xdr:from>
      <xdr:col>32</xdr:col>
      <xdr:colOff>576941</xdr:colOff>
      <xdr:row>12</xdr:row>
      <xdr:rowOff>163286</xdr:rowOff>
    </xdr:from>
    <xdr:to>
      <xdr:col>34</xdr:col>
      <xdr:colOff>500742</xdr:colOff>
      <xdr:row>15</xdr:row>
      <xdr:rowOff>163286</xdr:rowOff>
    </xdr:to>
    <xdr:sp macro="" textlink="">
      <xdr:nvSpPr>
        <xdr:cNvPr id="68" name="TextBox 67">
          <a:extLst>
            <a:ext uri="{FF2B5EF4-FFF2-40B4-BE49-F238E27FC236}">
              <a16:creationId xmlns:a16="http://schemas.microsoft.com/office/drawing/2014/main" id="{7DD95612-07E2-4C49-99A4-76108C22FDEA}"/>
            </a:ext>
          </a:extLst>
        </xdr:cNvPr>
        <xdr:cNvSpPr txBox="1"/>
      </xdr:nvSpPr>
      <xdr:spPr>
        <a:xfrm flipH="1">
          <a:off x="21161827" y="2013857"/>
          <a:ext cx="1143001" cy="5551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3200">
            <a:latin typeface="Arial Black" panose="020B0A04020102020204" pitchFamily="34" charset="0"/>
          </a:endParaRPr>
        </a:p>
      </xdr:txBody>
    </xdr:sp>
    <xdr:clientData/>
  </xdr:twoCellAnchor>
  <xdr:twoCellAnchor>
    <xdr:from>
      <xdr:col>19</xdr:col>
      <xdr:colOff>302076</xdr:colOff>
      <xdr:row>6</xdr:row>
      <xdr:rowOff>170995</xdr:rowOff>
    </xdr:from>
    <xdr:to>
      <xdr:col>23</xdr:col>
      <xdr:colOff>203676</xdr:colOff>
      <xdr:row>11</xdr:row>
      <xdr:rowOff>25400</xdr:rowOff>
    </xdr:to>
    <xdr:grpSp>
      <xdr:nvGrpSpPr>
        <xdr:cNvPr id="3" name="Group 2">
          <a:extLst>
            <a:ext uri="{FF2B5EF4-FFF2-40B4-BE49-F238E27FC236}">
              <a16:creationId xmlns:a16="http://schemas.microsoft.com/office/drawing/2014/main" id="{0C51D6FB-543B-4CE4-A814-86BE7B527D83}"/>
            </a:ext>
          </a:extLst>
        </xdr:cNvPr>
        <xdr:cNvGrpSpPr/>
      </xdr:nvGrpSpPr>
      <xdr:grpSpPr>
        <a:xfrm>
          <a:off x="11884476" y="1313995"/>
          <a:ext cx="2340000" cy="806905"/>
          <a:chOff x="8223707" y="1304923"/>
          <a:chExt cx="2145000" cy="763362"/>
        </a:xfrm>
      </xdr:grpSpPr>
      <xdr:grpSp>
        <xdr:nvGrpSpPr>
          <xdr:cNvPr id="13" name="Group 12">
            <a:extLst>
              <a:ext uri="{FF2B5EF4-FFF2-40B4-BE49-F238E27FC236}">
                <a16:creationId xmlns:a16="http://schemas.microsoft.com/office/drawing/2014/main" id="{AF7DCF02-65AA-49CC-A775-C97EE7D383AB}"/>
              </a:ext>
            </a:extLst>
          </xdr:cNvPr>
          <xdr:cNvGrpSpPr/>
        </xdr:nvGrpSpPr>
        <xdr:grpSpPr>
          <a:xfrm>
            <a:off x="8223707" y="1304923"/>
            <a:ext cx="2145000" cy="763362"/>
            <a:chOff x="9448799" y="892627"/>
            <a:chExt cx="2676978" cy="783772"/>
          </a:xfrm>
          <a:effectLst>
            <a:outerShdw blurRad="50800" dist="38100" dir="2700000" algn="tl" rotWithShape="0">
              <a:prstClr val="black">
                <a:alpha val="40000"/>
              </a:prstClr>
            </a:outerShdw>
          </a:effectLst>
        </xdr:grpSpPr>
        <xdr:sp macro="" textlink="'Pivot Table'!H5">
          <xdr:nvSpPr>
            <xdr:cNvPr id="53" name="Rectangle: Rounded Corners 52">
              <a:extLst>
                <a:ext uri="{FF2B5EF4-FFF2-40B4-BE49-F238E27FC236}">
                  <a16:creationId xmlns:a16="http://schemas.microsoft.com/office/drawing/2014/main" id="{56585A63-D231-49DD-AF00-F5E269E0B72D}"/>
                </a:ext>
              </a:extLst>
            </xdr:cNvPr>
            <xdr:cNvSpPr/>
          </xdr:nvSpPr>
          <xdr:spPr>
            <a:xfrm>
              <a:off x="9448799" y="892627"/>
              <a:ext cx="2676978" cy="783772"/>
            </a:xfrm>
            <a:prstGeom prst="roundRect">
              <a:avLst/>
            </a:prstGeom>
            <a:solidFill>
              <a:schemeClr val="bg1"/>
            </a:solid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4F73BDF8-9C7A-4F15-90CC-A1DFBF2C0F3C}" type="TxLink">
                <a:rPr lang="en-US" sz="2400" b="1" i="0" u="none" strike="noStrike">
                  <a:solidFill>
                    <a:srgbClr val="000000"/>
                  </a:solidFill>
                  <a:latin typeface="Calibri" panose="020F0502020204030204" pitchFamily="34" charset="0"/>
                  <a:cs typeface="Calibri" panose="020F0502020204030204" pitchFamily="34" charset="0"/>
                </a:rPr>
                <a:pPr algn="l"/>
                <a:t>4.7K</a:t>
              </a:fld>
              <a:endParaRPr lang="en-US" sz="4400" b="1">
                <a:latin typeface="Calibri" panose="020F0502020204030204" pitchFamily="34" charset="0"/>
                <a:cs typeface="Calibri" panose="020F0502020204030204" pitchFamily="34" charset="0"/>
              </a:endParaRPr>
            </a:p>
          </xdr:txBody>
        </xdr:sp>
        <xdr:sp macro="" textlink="">
          <xdr:nvSpPr>
            <xdr:cNvPr id="8" name="TextBox 7">
              <a:extLst>
                <a:ext uri="{FF2B5EF4-FFF2-40B4-BE49-F238E27FC236}">
                  <a16:creationId xmlns:a16="http://schemas.microsoft.com/office/drawing/2014/main" id="{785ACC59-BA5B-455C-8922-56E3E623D056}"/>
                </a:ext>
              </a:extLst>
            </xdr:cNvPr>
            <xdr:cNvSpPr txBox="1"/>
          </xdr:nvSpPr>
          <xdr:spPr>
            <a:xfrm>
              <a:off x="9514115" y="925286"/>
              <a:ext cx="1892692" cy="319824"/>
            </a:xfrm>
            <a:prstGeom prst="rect">
              <a:avLst/>
            </a:prstGeom>
            <a:noFill/>
            <a:ln w="0">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lumMod val="65000"/>
                      <a:lumOff val="35000"/>
                    </a:schemeClr>
                  </a:solidFill>
                  <a:latin typeface="+mn-lt"/>
                  <a:cs typeface="Arial" panose="020B0604020202020204" pitchFamily="34" charset="0"/>
                </a:rPr>
                <a:t>TOTAL QTY</a:t>
              </a:r>
            </a:p>
          </xdr:txBody>
        </xdr:sp>
      </xdr:grpSp>
      <xdr:pic>
        <xdr:nvPicPr>
          <xdr:cNvPr id="72" name="Graphic 71" descr="Bar chart with solid fill">
            <a:extLst>
              <a:ext uri="{FF2B5EF4-FFF2-40B4-BE49-F238E27FC236}">
                <a16:creationId xmlns:a16="http://schemas.microsoft.com/office/drawing/2014/main" id="{61788B1A-72C0-494E-A3BE-5576325E6F1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842644" y="1471231"/>
            <a:ext cx="461010" cy="516421"/>
          </a:xfrm>
          <a:prstGeom prst="rect">
            <a:avLst/>
          </a:prstGeom>
        </xdr:spPr>
      </xdr:pic>
    </xdr:grpSp>
    <xdr:clientData/>
  </xdr:twoCellAnchor>
  <xdr:twoCellAnchor>
    <xdr:from>
      <xdr:col>15</xdr:col>
      <xdr:colOff>215671</xdr:colOff>
      <xdr:row>6</xdr:row>
      <xdr:rowOff>170995</xdr:rowOff>
    </xdr:from>
    <xdr:to>
      <xdr:col>19</xdr:col>
      <xdr:colOff>117271</xdr:colOff>
      <xdr:row>11</xdr:row>
      <xdr:rowOff>25400</xdr:rowOff>
    </xdr:to>
    <xdr:grpSp>
      <xdr:nvGrpSpPr>
        <xdr:cNvPr id="76" name="Group 75">
          <a:extLst>
            <a:ext uri="{FF2B5EF4-FFF2-40B4-BE49-F238E27FC236}">
              <a16:creationId xmlns:a16="http://schemas.microsoft.com/office/drawing/2014/main" id="{5DBDB6F6-4043-45CB-90EC-6973F63677F0}"/>
            </a:ext>
          </a:extLst>
        </xdr:cNvPr>
        <xdr:cNvGrpSpPr/>
      </xdr:nvGrpSpPr>
      <xdr:grpSpPr>
        <a:xfrm>
          <a:off x="9359671" y="1313995"/>
          <a:ext cx="2340000" cy="806905"/>
          <a:chOff x="11778342" y="1230084"/>
          <a:chExt cx="2471058" cy="747487"/>
        </a:xfrm>
      </xdr:grpSpPr>
      <xdr:grpSp>
        <xdr:nvGrpSpPr>
          <xdr:cNvPr id="15" name="Group 14">
            <a:extLst>
              <a:ext uri="{FF2B5EF4-FFF2-40B4-BE49-F238E27FC236}">
                <a16:creationId xmlns:a16="http://schemas.microsoft.com/office/drawing/2014/main" id="{DCB819C0-0939-4E62-9A96-BE5549A34B85}"/>
              </a:ext>
            </a:extLst>
          </xdr:cNvPr>
          <xdr:cNvGrpSpPr/>
        </xdr:nvGrpSpPr>
        <xdr:grpSpPr>
          <a:xfrm>
            <a:off x="11778342" y="1230084"/>
            <a:ext cx="2471058" cy="747487"/>
            <a:chOff x="12300856" y="892627"/>
            <a:chExt cx="2471058" cy="783772"/>
          </a:xfrm>
          <a:effectLst>
            <a:outerShdw blurRad="50800" dist="38100" dir="2700000" algn="tl" rotWithShape="0">
              <a:prstClr val="black">
                <a:alpha val="40000"/>
              </a:prstClr>
            </a:outerShdw>
          </a:effectLst>
        </xdr:grpSpPr>
        <xdr:sp macro="" textlink="'Pivot Table'!J3">
          <xdr:nvSpPr>
            <xdr:cNvPr id="55" name="Rectangle: Rounded Corners 54">
              <a:extLst>
                <a:ext uri="{FF2B5EF4-FFF2-40B4-BE49-F238E27FC236}">
                  <a16:creationId xmlns:a16="http://schemas.microsoft.com/office/drawing/2014/main" id="{130A5084-D2C6-4906-9ADE-6C4484C1BDB6}"/>
                </a:ext>
              </a:extLst>
            </xdr:cNvPr>
            <xdr:cNvSpPr/>
          </xdr:nvSpPr>
          <xdr:spPr>
            <a:xfrm>
              <a:off x="12300856" y="892627"/>
              <a:ext cx="2471058" cy="783772"/>
            </a:xfrm>
            <a:prstGeom prst="roundRect">
              <a:avLst/>
            </a:prstGeom>
            <a:solidFill>
              <a:schemeClr val="bg1"/>
            </a:solid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1C1D3C82-EFE8-46AA-B3E3-DDAB933FEF66}" type="TxLink">
                <a:rPr lang="en-US" sz="2400" b="1" i="0" u="none" strike="noStrike">
                  <a:solidFill>
                    <a:srgbClr val="000000"/>
                  </a:solidFill>
                  <a:latin typeface="Calibri"/>
                  <a:cs typeface="Calibri"/>
                </a:rPr>
                <a:pPr algn="l"/>
                <a:t>1.1K</a:t>
              </a:fld>
              <a:endParaRPr lang="en-US" sz="2400" b="1"/>
            </a:p>
          </xdr:txBody>
        </xdr:sp>
        <xdr:sp macro="" textlink="">
          <xdr:nvSpPr>
            <xdr:cNvPr id="10" name="TextBox 9">
              <a:extLst>
                <a:ext uri="{FF2B5EF4-FFF2-40B4-BE49-F238E27FC236}">
                  <a16:creationId xmlns:a16="http://schemas.microsoft.com/office/drawing/2014/main" id="{76C67B26-16A5-4364-92CD-77C52971CC93}"/>
                </a:ext>
              </a:extLst>
            </xdr:cNvPr>
            <xdr:cNvSpPr txBox="1"/>
          </xdr:nvSpPr>
          <xdr:spPr>
            <a:xfrm>
              <a:off x="12333516" y="947057"/>
              <a:ext cx="1425798" cy="30816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tx1">
                      <a:lumMod val="65000"/>
                      <a:lumOff val="35000"/>
                    </a:schemeClr>
                  </a:solidFill>
                </a:rPr>
                <a:t>TOTAL</a:t>
              </a:r>
              <a:r>
                <a:rPr lang="en-IN" sz="1100">
                  <a:solidFill>
                    <a:schemeClr val="tx1">
                      <a:lumMod val="65000"/>
                      <a:lumOff val="35000"/>
                    </a:schemeClr>
                  </a:solidFill>
                </a:rPr>
                <a:t> </a:t>
              </a:r>
              <a:r>
                <a:rPr lang="en-IN" sz="1400" b="1">
                  <a:solidFill>
                    <a:schemeClr val="tx1">
                      <a:lumMod val="65000"/>
                      <a:lumOff val="35000"/>
                    </a:schemeClr>
                  </a:solidFill>
                </a:rPr>
                <a:t>ORDERS </a:t>
              </a:r>
              <a:endParaRPr lang="en-IN" sz="1100" b="1">
                <a:solidFill>
                  <a:schemeClr val="tx1">
                    <a:lumMod val="65000"/>
                    <a:lumOff val="35000"/>
                  </a:schemeClr>
                </a:solidFill>
              </a:endParaRPr>
            </a:p>
          </xdr:txBody>
        </xdr:sp>
      </xdr:grpSp>
      <xdr:pic>
        <xdr:nvPicPr>
          <xdr:cNvPr id="74" name="Graphic 73" descr="Checklist with solid fill">
            <a:extLst>
              <a:ext uri="{FF2B5EF4-FFF2-40B4-BE49-F238E27FC236}">
                <a16:creationId xmlns:a16="http://schemas.microsoft.com/office/drawing/2014/main" id="{FDF2C12B-2D83-4A2D-81C0-C3DB994ABF0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3646801" y="1374927"/>
            <a:ext cx="531087" cy="505682"/>
          </a:xfrm>
          <a:prstGeom prst="rect">
            <a:avLst/>
          </a:prstGeom>
        </xdr:spPr>
      </xdr:pic>
    </xdr:grpSp>
    <xdr:clientData/>
  </xdr:twoCellAnchor>
  <xdr:twoCellAnchor>
    <xdr:from>
      <xdr:col>2</xdr:col>
      <xdr:colOff>576292</xdr:colOff>
      <xdr:row>28</xdr:row>
      <xdr:rowOff>33586</xdr:rowOff>
    </xdr:from>
    <xdr:to>
      <xdr:col>10</xdr:col>
      <xdr:colOff>199492</xdr:colOff>
      <xdr:row>43</xdr:row>
      <xdr:rowOff>66586</xdr:rowOff>
    </xdr:to>
    <xdr:graphicFrame macro="">
      <xdr:nvGraphicFramePr>
        <xdr:cNvPr id="43" name="Chart 42">
          <a:extLst>
            <a:ext uri="{FF2B5EF4-FFF2-40B4-BE49-F238E27FC236}">
              <a16:creationId xmlns:a16="http://schemas.microsoft.com/office/drawing/2014/main" id="{468D7454-4679-4585-8E81-CC9E9275D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375549</xdr:colOff>
      <xdr:row>12</xdr:row>
      <xdr:rowOff>857</xdr:rowOff>
    </xdr:from>
    <xdr:to>
      <xdr:col>17</xdr:col>
      <xdr:colOff>608349</xdr:colOff>
      <xdr:row>27</xdr:row>
      <xdr:rowOff>32197</xdr:rowOff>
    </xdr:to>
    <xdr:graphicFrame macro="">
      <xdr:nvGraphicFramePr>
        <xdr:cNvPr id="45" name="Chart 44">
          <a:extLst>
            <a:ext uri="{FF2B5EF4-FFF2-40B4-BE49-F238E27FC236}">
              <a16:creationId xmlns:a16="http://schemas.microsoft.com/office/drawing/2014/main" id="{C1895608-C72F-4E88-A65C-B32E42228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350908</xdr:colOff>
      <xdr:row>33</xdr:row>
      <xdr:rowOff>164536</xdr:rowOff>
    </xdr:from>
    <xdr:to>
      <xdr:col>2</xdr:col>
      <xdr:colOff>350909</xdr:colOff>
      <xdr:row>43</xdr:row>
      <xdr:rowOff>73573</xdr:rowOff>
    </xdr:to>
    <mc:AlternateContent xmlns:mc="http://schemas.openxmlformats.org/markup-compatibility/2006">
      <mc:Choice xmlns:a14="http://schemas.microsoft.com/office/drawing/2010/main" Requires="a14">
        <xdr:graphicFrame macro="">
          <xdr:nvGraphicFramePr>
            <xdr:cNvPr id="46" name="Region">
              <a:extLst>
                <a:ext uri="{FF2B5EF4-FFF2-40B4-BE49-F238E27FC236}">
                  <a16:creationId xmlns:a16="http://schemas.microsoft.com/office/drawing/2014/main" id="{4C07CEC9-1C7E-45D1-9E5C-178A6D6A3B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0908" y="6451036"/>
              <a:ext cx="1219201" cy="1814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336790</xdr:colOff>
      <xdr:row>7</xdr:row>
      <xdr:rowOff>0</xdr:rowOff>
    </xdr:from>
    <xdr:to>
      <xdr:col>2</xdr:col>
      <xdr:colOff>348719</xdr:colOff>
      <xdr:row>27</xdr:row>
      <xdr:rowOff>26276</xdr:rowOff>
    </xdr:to>
    <mc:AlternateContent xmlns:mc="http://schemas.openxmlformats.org/markup-compatibility/2006">
      <mc:Choice xmlns:a14="http://schemas.microsoft.com/office/drawing/2010/main" Requires="a14">
        <xdr:graphicFrame macro="">
          <xdr:nvGraphicFramePr>
            <xdr:cNvPr id="38" name="Order Date">
              <a:extLst>
                <a:ext uri="{FF2B5EF4-FFF2-40B4-BE49-F238E27FC236}">
                  <a16:creationId xmlns:a16="http://schemas.microsoft.com/office/drawing/2014/main" id="{19140BC6-C44F-4713-87DA-2343F5B24133}"/>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336790" y="1333500"/>
              <a:ext cx="1231129" cy="3836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348343</xdr:colOff>
      <xdr:row>2</xdr:row>
      <xdr:rowOff>76201</xdr:rowOff>
    </xdr:from>
    <xdr:to>
      <xdr:col>22</xdr:col>
      <xdr:colOff>456597</xdr:colOff>
      <xdr:row>5</xdr:row>
      <xdr:rowOff>65315</xdr:rowOff>
    </xdr:to>
    <xdr:grpSp>
      <xdr:nvGrpSpPr>
        <xdr:cNvPr id="11" name="Group 10">
          <a:extLst>
            <a:ext uri="{FF2B5EF4-FFF2-40B4-BE49-F238E27FC236}">
              <a16:creationId xmlns:a16="http://schemas.microsoft.com/office/drawing/2014/main" id="{88180414-9425-41BE-83F8-9A431EF2D0D6}"/>
            </a:ext>
          </a:extLst>
        </xdr:cNvPr>
        <xdr:cNvGrpSpPr/>
      </xdr:nvGrpSpPr>
      <xdr:grpSpPr>
        <a:xfrm>
          <a:off x="11930743" y="457201"/>
          <a:ext cx="1937054" cy="560614"/>
          <a:chOff x="11930743" y="446315"/>
          <a:chExt cx="1937054" cy="544286"/>
        </a:xfrm>
      </xdr:grpSpPr>
      <xdr:pic>
        <xdr:nvPicPr>
          <xdr:cNvPr id="4" name="Graphic 3" descr="Daily calendar with solid fill">
            <a:extLst>
              <a:ext uri="{FF2B5EF4-FFF2-40B4-BE49-F238E27FC236}">
                <a16:creationId xmlns:a16="http://schemas.microsoft.com/office/drawing/2014/main" id="{529BAFBB-393B-4B7A-906E-2FEB1DDA22C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1930743" y="446315"/>
            <a:ext cx="544286" cy="544286"/>
          </a:xfrm>
          <a:prstGeom prst="rect">
            <a:avLst/>
          </a:prstGeom>
        </xdr:spPr>
      </xdr:pic>
      <xdr:sp macro="" textlink="">
        <xdr:nvSpPr>
          <xdr:cNvPr id="9" name="TextBox 8">
            <a:extLst>
              <a:ext uri="{FF2B5EF4-FFF2-40B4-BE49-F238E27FC236}">
                <a16:creationId xmlns:a16="http://schemas.microsoft.com/office/drawing/2014/main" id="{0A65E6A7-D148-4927-B1B4-3BBFE1DD85DE}"/>
              </a:ext>
            </a:extLst>
          </xdr:cNvPr>
          <xdr:cNvSpPr txBox="1"/>
        </xdr:nvSpPr>
        <xdr:spPr>
          <a:xfrm>
            <a:off x="12605657" y="566058"/>
            <a:ext cx="1262140" cy="384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tx1">
                    <a:lumMod val="65000"/>
                    <a:lumOff val="35000"/>
                  </a:schemeClr>
                </a:solidFill>
              </a:rPr>
              <a:t>01-06-2026</a:t>
            </a:r>
            <a:endParaRPr lang="en-IN" sz="1100" b="1">
              <a:solidFill>
                <a:schemeClr val="tx1">
                  <a:lumMod val="65000"/>
                  <a:lumOff val="35000"/>
                </a:schemeClr>
              </a:solidFill>
            </a:endParaRPr>
          </a:p>
        </xdr:txBody>
      </xdr:sp>
    </xdr:grpSp>
    <xdr:clientData/>
  </xdr:twoCellAnchor>
  <xdr:twoCellAnchor>
    <xdr:from>
      <xdr:col>2</xdr:col>
      <xdr:colOff>566050</xdr:colOff>
      <xdr:row>11</xdr:row>
      <xdr:rowOff>170540</xdr:rowOff>
    </xdr:from>
    <xdr:to>
      <xdr:col>10</xdr:col>
      <xdr:colOff>189250</xdr:colOff>
      <xdr:row>27</xdr:row>
      <xdr:rowOff>25740</xdr:rowOff>
    </xdr:to>
    <xdr:graphicFrame macro="">
      <xdr:nvGraphicFramePr>
        <xdr:cNvPr id="41" name="Chart 40">
          <a:extLst>
            <a:ext uri="{FF2B5EF4-FFF2-40B4-BE49-F238E27FC236}">
              <a16:creationId xmlns:a16="http://schemas.microsoft.com/office/drawing/2014/main" id="{27FA6477-7F0E-469C-9D6F-8C65506CB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129256</xdr:colOff>
      <xdr:row>6</xdr:row>
      <xdr:rowOff>170994</xdr:rowOff>
    </xdr:from>
    <xdr:to>
      <xdr:col>15</xdr:col>
      <xdr:colOff>30853</xdr:colOff>
      <xdr:row>11</xdr:row>
      <xdr:rowOff>25400</xdr:rowOff>
    </xdr:to>
    <xdr:grpSp>
      <xdr:nvGrpSpPr>
        <xdr:cNvPr id="19" name="Group 18">
          <a:extLst>
            <a:ext uri="{FF2B5EF4-FFF2-40B4-BE49-F238E27FC236}">
              <a16:creationId xmlns:a16="http://schemas.microsoft.com/office/drawing/2014/main" id="{4F9032EC-BAB2-44F5-BBCF-CE6B33A15867}"/>
            </a:ext>
          </a:extLst>
        </xdr:cNvPr>
        <xdr:cNvGrpSpPr/>
      </xdr:nvGrpSpPr>
      <xdr:grpSpPr>
        <a:xfrm>
          <a:off x="6834856" y="1313994"/>
          <a:ext cx="2339997" cy="806906"/>
          <a:chOff x="6110958" y="1212395"/>
          <a:chExt cx="2159999" cy="743406"/>
        </a:xfrm>
        <a:effectLst/>
      </xdr:grpSpPr>
      <xdr:grpSp>
        <xdr:nvGrpSpPr>
          <xdr:cNvPr id="40" name="Group 39">
            <a:extLst>
              <a:ext uri="{FF2B5EF4-FFF2-40B4-BE49-F238E27FC236}">
                <a16:creationId xmlns:a16="http://schemas.microsoft.com/office/drawing/2014/main" id="{A2B319DF-2573-40AD-9C4D-C39F93C588C9}"/>
              </a:ext>
            </a:extLst>
          </xdr:cNvPr>
          <xdr:cNvGrpSpPr/>
        </xdr:nvGrpSpPr>
        <xdr:grpSpPr>
          <a:xfrm>
            <a:off x="6110958" y="1212395"/>
            <a:ext cx="2159999" cy="743406"/>
            <a:chOff x="12300854" y="892628"/>
            <a:chExt cx="2471057" cy="783772"/>
          </a:xfrm>
          <a:effectLst>
            <a:outerShdw blurRad="50800" dist="38100" dir="2700000" algn="tl" rotWithShape="0">
              <a:prstClr val="black">
                <a:alpha val="40000"/>
              </a:prstClr>
            </a:outerShdw>
          </a:effectLst>
        </xdr:grpSpPr>
        <xdr:sp macro="" textlink="'Pivot Table'!H6">
          <xdr:nvSpPr>
            <xdr:cNvPr id="48" name="Rectangle: Rounded Corners 47">
              <a:extLst>
                <a:ext uri="{FF2B5EF4-FFF2-40B4-BE49-F238E27FC236}">
                  <a16:creationId xmlns:a16="http://schemas.microsoft.com/office/drawing/2014/main" id="{38127E8A-FB88-485F-B3BF-C13747CA8CBE}"/>
                </a:ext>
              </a:extLst>
            </xdr:cNvPr>
            <xdr:cNvSpPr/>
          </xdr:nvSpPr>
          <xdr:spPr>
            <a:xfrm>
              <a:off x="12300854" y="892628"/>
              <a:ext cx="2471057" cy="783772"/>
            </a:xfrm>
            <a:prstGeom prst="roundRect">
              <a:avLst/>
            </a:prstGeom>
            <a:solidFill>
              <a:schemeClr val="bg1"/>
            </a:solid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E2ECDB50-ED39-4B42-9465-F228432CA608}" type="TxLink">
                <a:rPr lang="en-US" sz="2400" b="1" i="0" u="none" strike="noStrike">
                  <a:solidFill>
                    <a:srgbClr val="000000"/>
                  </a:solidFill>
                  <a:latin typeface="Calibri"/>
                  <a:cs typeface="Calibri"/>
                </a:rPr>
                <a:pPr algn="l"/>
                <a:t>20%</a:t>
              </a:fld>
              <a:endParaRPr lang="en-US" sz="4400" b="1"/>
            </a:p>
          </xdr:txBody>
        </xdr:sp>
        <xdr:sp macro="" textlink="">
          <xdr:nvSpPr>
            <xdr:cNvPr id="49" name="TextBox 48">
              <a:extLst>
                <a:ext uri="{FF2B5EF4-FFF2-40B4-BE49-F238E27FC236}">
                  <a16:creationId xmlns:a16="http://schemas.microsoft.com/office/drawing/2014/main" id="{02E90CBB-22C4-4BF7-9AC5-C3C0B926D24D}"/>
                </a:ext>
              </a:extLst>
            </xdr:cNvPr>
            <xdr:cNvSpPr txBox="1"/>
          </xdr:nvSpPr>
          <xdr:spPr>
            <a:xfrm>
              <a:off x="12333514" y="947057"/>
              <a:ext cx="2135924" cy="3198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lumMod val="65000"/>
                      <a:lumOff val="35000"/>
                    </a:schemeClr>
                  </a:solidFill>
                </a:rPr>
                <a:t>PROFIT</a:t>
              </a:r>
              <a:r>
                <a:rPr lang="en-IN" sz="1400" b="1" baseline="0">
                  <a:solidFill>
                    <a:schemeClr val="tx1">
                      <a:lumMod val="65000"/>
                      <a:lumOff val="35000"/>
                    </a:schemeClr>
                  </a:solidFill>
                </a:rPr>
                <a:t> MARGIN %</a:t>
              </a:r>
              <a:endParaRPr lang="en-IN" sz="1100" b="1">
                <a:solidFill>
                  <a:schemeClr val="tx1">
                    <a:lumMod val="65000"/>
                    <a:lumOff val="35000"/>
                  </a:schemeClr>
                </a:solidFill>
              </a:endParaRPr>
            </a:p>
          </xdr:txBody>
        </xdr:sp>
      </xdr:grpSp>
      <xdr:pic>
        <xdr:nvPicPr>
          <xdr:cNvPr id="14" name="Graphic 13" descr="Upward trend with solid fill">
            <a:extLst>
              <a:ext uri="{FF2B5EF4-FFF2-40B4-BE49-F238E27FC236}">
                <a16:creationId xmlns:a16="http://schemas.microsoft.com/office/drawing/2014/main" id="{86D46337-6055-49BD-9A26-5D396B6209D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7753674" y="1356473"/>
            <a:ext cx="464234" cy="502920"/>
          </a:xfrm>
          <a:prstGeom prst="rect">
            <a:avLst/>
          </a:prstGeom>
        </xdr:spPr>
      </xdr:pic>
    </xdr:grpSp>
    <xdr:clientData/>
  </xdr:twoCellAnchor>
  <xdr:twoCellAnchor>
    <xdr:from>
      <xdr:col>18</xdr:col>
      <xdr:colOff>190500</xdr:colOff>
      <xdr:row>28</xdr:row>
      <xdr:rowOff>52476</xdr:rowOff>
    </xdr:from>
    <xdr:to>
      <xdr:col>23</xdr:col>
      <xdr:colOff>228600</xdr:colOff>
      <xdr:row>43</xdr:row>
      <xdr:rowOff>66137</xdr:rowOff>
    </xdr:to>
    <xdr:sp macro="" textlink="">
      <xdr:nvSpPr>
        <xdr:cNvPr id="22" name="Rectangle 21">
          <a:extLst>
            <a:ext uri="{FF2B5EF4-FFF2-40B4-BE49-F238E27FC236}">
              <a16:creationId xmlns:a16="http://schemas.microsoft.com/office/drawing/2014/main" id="{66BE2A20-2646-4B60-A28E-BCA784AE94F7}"/>
            </a:ext>
          </a:extLst>
        </xdr:cNvPr>
        <xdr:cNvSpPr/>
      </xdr:nvSpPr>
      <xdr:spPr>
        <a:xfrm>
          <a:off x="11163300" y="5192512"/>
          <a:ext cx="3086100" cy="2767252"/>
        </a:xfrm>
        <a:prstGeom prst="rect">
          <a:avLst/>
        </a:prstGeom>
        <a:solidFill>
          <a:schemeClr val="bg1"/>
        </a:solidFill>
        <a:ln w="12700">
          <a:solidFill>
            <a:srgbClr val="D9D9D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406400</xdr:colOff>
      <xdr:row>32</xdr:row>
      <xdr:rowOff>25400</xdr:rowOff>
    </xdr:from>
    <xdr:to>
      <xdr:col>23</xdr:col>
      <xdr:colOff>139700</xdr:colOff>
      <xdr:row>41</xdr:row>
      <xdr:rowOff>88900</xdr:rowOff>
    </xdr:to>
    <xdr:sp macro="" textlink="">
      <xdr:nvSpPr>
        <xdr:cNvPr id="23" name="TextBox 22">
          <a:extLst>
            <a:ext uri="{FF2B5EF4-FFF2-40B4-BE49-F238E27FC236}">
              <a16:creationId xmlns:a16="http://schemas.microsoft.com/office/drawing/2014/main" id="{2F81DDF1-3176-4EED-8D99-E7B2705A49F4}"/>
            </a:ext>
          </a:extLst>
        </xdr:cNvPr>
        <xdr:cNvSpPr txBox="1"/>
      </xdr:nvSpPr>
      <xdr:spPr>
        <a:xfrm>
          <a:off x="11379200" y="5715000"/>
          <a:ext cx="2781300" cy="166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t>• Top Product : Mouse</a:t>
          </a:r>
          <a:br>
            <a:rPr lang="en-IN" sz="1600"/>
          </a:br>
          <a:r>
            <a:rPr lang="en-IN" sz="1600"/>
            <a:t>• Top Sales Person : Aman</a:t>
          </a:r>
          <a:br>
            <a:rPr lang="en-IN" sz="1600"/>
          </a:br>
          <a:r>
            <a:rPr lang="en-IN" sz="1600"/>
            <a:t>• Best Category : Accessories</a:t>
          </a:r>
          <a:br>
            <a:rPr lang="en-IN" sz="1600"/>
          </a:br>
          <a:r>
            <a:rPr lang="en-IN" sz="1600"/>
            <a:t>• Total Sales : 142.4M</a:t>
          </a:r>
          <a:br>
            <a:rPr lang="en-IN" sz="1600"/>
          </a:br>
          <a:r>
            <a:rPr lang="en-IN" sz="1600"/>
            <a:t>• Profit Margin : 20%</a:t>
          </a:r>
        </a:p>
      </xdr:txBody>
    </xdr:sp>
    <xdr:clientData/>
  </xdr:twoCellAnchor>
  <xdr:twoCellAnchor>
    <xdr:from>
      <xdr:col>18</xdr:col>
      <xdr:colOff>406400</xdr:colOff>
      <xdr:row>28</xdr:row>
      <xdr:rowOff>152400</xdr:rowOff>
    </xdr:from>
    <xdr:to>
      <xdr:col>23</xdr:col>
      <xdr:colOff>127000</xdr:colOff>
      <xdr:row>31</xdr:row>
      <xdr:rowOff>101600</xdr:rowOff>
    </xdr:to>
    <xdr:sp macro="" textlink="">
      <xdr:nvSpPr>
        <xdr:cNvPr id="24" name="TextBox 23">
          <a:extLst>
            <a:ext uri="{FF2B5EF4-FFF2-40B4-BE49-F238E27FC236}">
              <a16:creationId xmlns:a16="http://schemas.microsoft.com/office/drawing/2014/main" id="{1AC6DDEE-E174-49C4-B5C3-463BFD20BCAA}"/>
            </a:ext>
          </a:extLst>
        </xdr:cNvPr>
        <xdr:cNvSpPr txBox="1"/>
      </xdr:nvSpPr>
      <xdr:spPr>
        <a:xfrm>
          <a:off x="11379200" y="5130800"/>
          <a:ext cx="2768600" cy="482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tx1">
                  <a:lumMod val="65000"/>
                  <a:lumOff val="35000"/>
                </a:schemeClr>
              </a:solidFill>
            </a:rPr>
            <a:t>Executive Summary Box</a:t>
          </a:r>
        </a:p>
      </xdr:txBody>
    </xdr:sp>
    <xdr:clientData/>
  </xdr:twoCellAnchor>
  <xdr:oneCellAnchor>
    <xdr:from>
      <xdr:col>19</xdr:col>
      <xdr:colOff>590939</xdr:colOff>
      <xdr:row>12</xdr:row>
      <xdr:rowOff>46653</xdr:rowOff>
    </xdr:from>
    <xdr:ext cx="1250022" cy="311496"/>
    <xdr:sp macro="" textlink="">
      <xdr:nvSpPr>
        <xdr:cNvPr id="25" name="TextBox 24">
          <a:extLst>
            <a:ext uri="{FF2B5EF4-FFF2-40B4-BE49-F238E27FC236}">
              <a16:creationId xmlns:a16="http://schemas.microsoft.com/office/drawing/2014/main" id="{D7B10603-8A1F-4573-A0F4-EAD7B942341A}"/>
            </a:ext>
          </a:extLst>
        </xdr:cNvPr>
        <xdr:cNvSpPr txBox="1"/>
      </xdr:nvSpPr>
      <xdr:spPr>
        <a:xfrm>
          <a:off x="12173339" y="2180253"/>
          <a:ext cx="125002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tx1">
                  <a:lumMod val="65000"/>
                  <a:lumOff val="35000"/>
                </a:schemeClr>
              </a:solidFill>
            </a:rPr>
            <a:t>Category</a:t>
          </a:r>
          <a:r>
            <a:rPr lang="en-IN" sz="1100" baseline="0">
              <a:solidFill>
                <a:schemeClr val="tx1">
                  <a:lumMod val="65000"/>
                  <a:lumOff val="35000"/>
                </a:schemeClr>
              </a:solidFill>
            </a:rPr>
            <a:t> Profit</a:t>
          </a:r>
          <a:r>
            <a:rPr lang="en-IN" sz="1400" baseline="0">
              <a:solidFill>
                <a:schemeClr val="tx1">
                  <a:lumMod val="65000"/>
                  <a:lumOff val="35000"/>
                </a:schemeClr>
              </a:solidFill>
            </a:rPr>
            <a:t>t</a:t>
          </a:r>
          <a:endParaRPr lang="en-IN" sz="1100">
            <a:solidFill>
              <a:schemeClr val="tx1">
                <a:lumMod val="65000"/>
                <a:lumOff val="35000"/>
              </a:schemeClr>
            </a:solidFill>
          </a:endParaRPr>
        </a:p>
      </xdr:txBody>
    </xdr:sp>
    <xdr:clientData/>
  </xdr:oneCellAnchor>
  <xdr:oneCellAnchor>
    <xdr:from>
      <xdr:col>20</xdr:col>
      <xdr:colOff>215900</xdr:colOff>
      <xdr:row>19</xdr:row>
      <xdr:rowOff>88900</xdr:rowOff>
    </xdr:from>
    <xdr:ext cx="699038" cy="468077"/>
    <xdr:sp macro="" textlink="">
      <xdr:nvSpPr>
        <xdr:cNvPr id="12" name="TextBox 11">
          <a:extLst>
            <a:ext uri="{FF2B5EF4-FFF2-40B4-BE49-F238E27FC236}">
              <a16:creationId xmlns:a16="http://schemas.microsoft.com/office/drawing/2014/main" id="{499FBB8D-EE8B-4C81-92AE-9F75DF98FCB1}"/>
            </a:ext>
          </a:extLst>
        </xdr:cNvPr>
        <xdr:cNvSpPr txBox="1"/>
      </xdr:nvSpPr>
      <xdr:spPr>
        <a:xfrm>
          <a:off x="12407900" y="3467100"/>
          <a:ext cx="699038"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200">
              <a:solidFill>
                <a:schemeClr val="tx1">
                  <a:lumMod val="65000"/>
                  <a:lumOff val="35000"/>
                </a:schemeClr>
              </a:solidFill>
            </a:rPr>
            <a:t>Profit</a:t>
          </a:r>
        </a:p>
        <a:p>
          <a:r>
            <a:rPr lang="en-IN" sz="1200">
              <a:solidFill>
                <a:schemeClr val="tx1">
                  <a:lumMod val="65000"/>
                  <a:lumOff val="35000"/>
                </a:schemeClr>
              </a:solidFill>
            </a:rPr>
            <a:t>27.8M%</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3.583725925928" createdVersion="7" refreshedVersion="7" minRefreshableVersion="3" recordCount="1049" xr:uid="{F10FF857-31DA-4005-9C7C-F52223248311}">
  <cacheSource type="worksheet">
    <worksheetSource name="SALE_TABLE_2"/>
  </cacheSource>
  <cacheFields count="12">
    <cacheField name="Order ID" numFmtId="0">
      <sharedItems/>
    </cacheField>
    <cacheField name="Order Date" numFmtId="22">
      <sharedItems containsSemiMixedTypes="0" containsNonDate="0" containsDate="1" containsString="0" minDate="2023-01-01T00:00:00" maxDate="2025-11-15T00:00:00" count="1049">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sharedItems>
      <fieldGroup base="1">
        <rangePr groupBy="months" startDate="2023-01-01T00:00:00" endDate="2025-11-15T00:00:00"/>
        <groupItems count="14">
          <s v="&lt;01-01-2023"/>
          <s v="Jan"/>
          <s v="Feb"/>
          <s v="Mar"/>
          <s v="Apr"/>
          <s v="May"/>
          <s v="Jun"/>
          <s v="Jul"/>
          <s v="Aug"/>
          <s v="Sep"/>
          <s v="Oct"/>
          <s v="Nov"/>
          <s v="Dec"/>
          <s v="&gt;15-11-2025"/>
        </groupItems>
      </fieldGroup>
    </cacheField>
    <cacheField name="Region" numFmtId="0">
      <sharedItems count="4">
        <s v="South"/>
        <s v="East"/>
        <s v="West"/>
        <s v="North"/>
      </sharedItems>
    </cacheField>
    <cacheField name="Sales Person" numFmtId="0">
      <sharedItems count="6">
        <s v="Karan"/>
        <s v="Aman"/>
        <s v="Sneha"/>
        <s v="Priya"/>
        <s v="Rohit"/>
        <s v="Neha"/>
      </sharedItems>
    </cacheField>
    <cacheField name="Category" numFmtId="0">
      <sharedItems count="2">
        <s v="Electronics"/>
        <s v="Accessories"/>
      </sharedItems>
    </cacheField>
    <cacheField name="Product" numFmtId="0">
      <sharedItems count="6">
        <s v="Laptop"/>
        <s v="Mouse"/>
        <s v="Headphones"/>
        <s v="Phone"/>
        <s v="Tablet"/>
        <s v="Keyboard"/>
      </sharedItems>
    </cacheField>
    <cacheField name="Quantity" numFmtId="0">
      <sharedItems containsSemiMixedTypes="0" containsString="0" containsNumber="1" containsInteger="1" minValue="1" maxValue="10"/>
    </cacheField>
    <cacheField name="Cost Price" numFmtId="0">
      <sharedItems containsSemiMixedTypes="0" containsString="0" containsNumber="1" containsInteger="1" minValue="913" maxValue="39975"/>
    </cacheField>
    <cacheField name="Selling Price" numFmtId="0">
      <sharedItems containsSemiMixedTypes="0" containsString="0" containsNumber="1" containsInteger="1" minValue="1409" maxValue="47511"/>
    </cacheField>
    <cacheField name="Total Cost" numFmtId="0">
      <sharedItems containsSemiMixedTypes="0" containsString="0" containsNumber="1" containsInteger="1" minValue="2194" maxValue="389230"/>
    </cacheField>
    <cacheField name="Total Sales" numFmtId="0">
      <sharedItems containsSemiMixedTypes="0" containsString="0" containsNumber="1" containsInteger="1" minValue="2818" maxValue="475110"/>
    </cacheField>
    <cacheField name="Profit" numFmtId="0">
      <sharedItems containsSemiMixedTypes="0" containsString="0" containsNumber="1" containsInteger="1" minValue="450" maxValue="93760"/>
    </cacheField>
  </cacheFields>
  <extLst>
    <ext xmlns:x14="http://schemas.microsoft.com/office/spreadsheetml/2009/9/main" uri="{725AE2AE-9491-48be-B2B4-4EB974FC3084}">
      <x14:pivotCacheDefinition pivotCacheId="1799232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9">
  <r>
    <s v="ORD-1001"/>
    <x v="0"/>
    <x v="0"/>
    <x v="0"/>
    <x v="0"/>
    <x v="0"/>
    <n v="4"/>
    <n v="6904"/>
    <n v="9856"/>
    <n v="27616"/>
    <n v="39424"/>
    <n v="11808"/>
  </r>
  <r>
    <s v="ORD-1002"/>
    <x v="1"/>
    <x v="1"/>
    <x v="1"/>
    <x v="0"/>
    <x v="0"/>
    <n v="6"/>
    <n v="30008"/>
    <n v="35165"/>
    <n v="180048"/>
    <n v="210990"/>
    <n v="30942"/>
  </r>
  <r>
    <s v="ORD-1003"/>
    <x v="2"/>
    <x v="1"/>
    <x v="1"/>
    <x v="1"/>
    <x v="1"/>
    <n v="1"/>
    <n v="17893"/>
    <n v="20233"/>
    <n v="17893"/>
    <n v="20233"/>
    <n v="2340"/>
  </r>
  <r>
    <s v="ORD-1004"/>
    <x v="3"/>
    <x v="0"/>
    <x v="2"/>
    <x v="1"/>
    <x v="2"/>
    <n v="1"/>
    <n v="39831"/>
    <n v="40281"/>
    <n v="39831"/>
    <n v="40281"/>
    <n v="450"/>
  </r>
  <r>
    <s v="ORD-1005"/>
    <x v="4"/>
    <x v="2"/>
    <x v="0"/>
    <x v="0"/>
    <x v="3"/>
    <n v="9"/>
    <n v="12809"/>
    <n v="14722"/>
    <n v="115281"/>
    <n v="132498"/>
    <n v="17217"/>
  </r>
  <r>
    <s v="ORD-1006"/>
    <x v="5"/>
    <x v="1"/>
    <x v="0"/>
    <x v="0"/>
    <x v="4"/>
    <n v="3"/>
    <n v="27763"/>
    <n v="31969"/>
    <n v="83289"/>
    <n v="95907"/>
    <n v="12618"/>
  </r>
  <r>
    <s v="ORD-1007"/>
    <x v="6"/>
    <x v="2"/>
    <x v="3"/>
    <x v="0"/>
    <x v="0"/>
    <n v="7"/>
    <n v="28576"/>
    <n v="33522"/>
    <n v="200032"/>
    <n v="234654"/>
    <n v="34622"/>
  </r>
  <r>
    <s v="ORD-1008"/>
    <x v="7"/>
    <x v="3"/>
    <x v="1"/>
    <x v="0"/>
    <x v="4"/>
    <n v="2"/>
    <n v="1097"/>
    <n v="1409"/>
    <n v="2194"/>
    <n v="2818"/>
    <n v="624"/>
  </r>
  <r>
    <s v="ORD-1009"/>
    <x v="8"/>
    <x v="0"/>
    <x v="0"/>
    <x v="0"/>
    <x v="3"/>
    <n v="2"/>
    <n v="2084"/>
    <n v="6054"/>
    <n v="4168"/>
    <n v="12108"/>
    <n v="7940"/>
  </r>
  <r>
    <s v="ORD-1010"/>
    <x v="9"/>
    <x v="3"/>
    <x v="1"/>
    <x v="1"/>
    <x v="1"/>
    <n v="7"/>
    <n v="28168"/>
    <n v="35566"/>
    <n v="197176"/>
    <n v="248962"/>
    <n v="51786"/>
  </r>
  <r>
    <s v="ORD-1011"/>
    <x v="10"/>
    <x v="0"/>
    <x v="1"/>
    <x v="0"/>
    <x v="3"/>
    <n v="6"/>
    <n v="26880"/>
    <n v="27786"/>
    <n v="161280"/>
    <n v="166716"/>
    <n v="5436"/>
  </r>
  <r>
    <s v="ORD-1012"/>
    <x v="11"/>
    <x v="3"/>
    <x v="3"/>
    <x v="1"/>
    <x v="2"/>
    <n v="6"/>
    <n v="19539"/>
    <n v="25185"/>
    <n v="117234"/>
    <n v="151110"/>
    <n v="33876"/>
  </r>
  <r>
    <s v="ORD-1013"/>
    <x v="12"/>
    <x v="1"/>
    <x v="1"/>
    <x v="1"/>
    <x v="2"/>
    <n v="7"/>
    <n v="14245"/>
    <n v="23063"/>
    <n v="99715"/>
    <n v="161441"/>
    <n v="61726"/>
  </r>
  <r>
    <s v="ORD-1014"/>
    <x v="13"/>
    <x v="0"/>
    <x v="2"/>
    <x v="0"/>
    <x v="4"/>
    <n v="8"/>
    <n v="23772"/>
    <n v="30025"/>
    <n v="190176"/>
    <n v="240200"/>
    <n v="50024"/>
  </r>
  <r>
    <s v="ORD-1015"/>
    <x v="14"/>
    <x v="0"/>
    <x v="4"/>
    <x v="0"/>
    <x v="0"/>
    <n v="8"/>
    <n v="31735"/>
    <n v="38965"/>
    <n v="253880"/>
    <n v="311720"/>
    <n v="57840"/>
  </r>
  <r>
    <s v="ORD-1016"/>
    <x v="15"/>
    <x v="0"/>
    <x v="3"/>
    <x v="1"/>
    <x v="1"/>
    <n v="8"/>
    <n v="18190"/>
    <n v="27524"/>
    <n v="145520"/>
    <n v="220192"/>
    <n v="74672"/>
  </r>
  <r>
    <s v="ORD-1017"/>
    <x v="16"/>
    <x v="2"/>
    <x v="3"/>
    <x v="1"/>
    <x v="5"/>
    <n v="8"/>
    <n v="23890"/>
    <n v="25127"/>
    <n v="191120"/>
    <n v="201016"/>
    <n v="9896"/>
  </r>
  <r>
    <s v="ORD-1018"/>
    <x v="17"/>
    <x v="1"/>
    <x v="2"/>
    <x v="0"/>
    <x v="0"/>
    <n v="2"/>
    <n v="21937"/>
    <n v="27167"/>
    <n v="43874"/>
    <n v="54334"/>
    <n v="10460"/>
  </r>
  <r>
    <s v="ORD-1019"/>
    <x v="18"/>
    <x v="2"/>
    <x v="4"/>
    <x v="1"/>
    <x v="2"/>
    <n v="6"/>
    <n v="10480"/>
    <n v="14377"/>
    <n v="62880"/>
    <n v="86262"/>
    <n v="23382"/>
  </r>
  <r>
    <s v="ORD-1020"/>
    <x v="19"/>
    <x v="0"/>
    <x v="0"/>
    <x v="1"/>
    <x v="5"/>
    <n v="5"/>
    <n v="33063"/>
    <n v="34834"/>
    <n v="165315"/>
    <n v="174170"/>
    <n v="8855"/>
  </r>
  <r>
    <s v="ORD-1021"/>
    <x v="20"/>
    <x v="2"/>
    <x v="5"/>
    <x v="1"/>
    <x v="2"/>
    <n v="8"/>
    <n v="24874"/>
    <n v="34652"/>
    <n v="198992"/>
    <n v="277216"/>
    <n v="78224"/>
  </r>
  <r>
    <s v="ORD-1022"/>
    <x v="21"/>
    <x v="1"/>
    <x v="4"/>
    <x v="1"/>
    <x v="1"/>
    <n v="5"/>
    <n v="38985"/>
    <n v="46351"/>
    <n v="194925"/>
    <n v="231755"/>
    <n v="36830"/>
  </r>
  <r>
    <s v="ORD-1023"/>
    <x v="22"/>
    <x v="0"/>
    <x v="2"/>
    <x v="1"/>
    <x v="1"/>
    <n v="3"/>
    <n v="11093"/>
    <n v="19996"/>
    <n v="33279"/>
    <n v="59988"/>
    <n v="26709"/>
  </r>
  <r>
    <s v="ORD-1024"/>
    <x v="23"/>
    <x v="0"/>
    <x v="2"/>
    <x v="1"/>
    <x v="1"/>
    <n v="4"/>
    <n v="10479"/>
    <n v="14923"/>
    <n v="41916"/>
    <n v="59692"/>
    <n v="17776"/>
  </r>
  <r>
    <s v="ORD-1025"/>
    <x v="24"/>
    <x v="0"/>
    <x v="5"/>
    <x v="0"/>
    <x v="4"/>
    <n v="5"/>
    <n v="28226"/>
    <n v="32321"/>
    <n v="141130"/>
    <n v="161605"/>
    <n v="20475"/>
  </r>
  <r>
    <s v="ORD-1026"/>
    <x v="25"/>
    <x v="3"/>
    <x v="0"/>
    <x v="1"/>
    <x v="2"/>
    <n v="1"/>
    <n v="24323"/>
    <n v="25653"/>
    <n v="24323"/>
    <n v="25653"/>
    <n v="1330"/>
  </r>
  <r>
    <s v="ORD-1027"/>
    <x v="26"/>
    <x v="3"/>
    <x v="0"/>
    <x v="0"/>
    <x v="3"/>
    <n v="8"/>
    <n v="21117"/>
    <n v="23532"/>
    <n v="168936"/>
    <n v="188256"/>
    <n v="19320"/>
  </r>
  <r>
    <s v="ORD-1028"/>
    <x v="27"/>
    <x v="3"/>
    <x v="2"/>
    <x v="1"/>
    <x v="1"/>
    <n v="7"/>
    <n v="30286"/>
    <n v="39023"/>
    <n v="212002"/>
    <n v="273161"/>
    <n v="61159"/>
  </r>
  <r>
    <s v="ORD-1029"/>
    <x v="28"/>
    <x v="1"/>
    <x v="4"/>
    <x v="1"/>
    <x v="1"/>
    <n v="7"/>
    <n v="4617"/>
    <n v="5987"/>
    <n v="32319"/>
    <n v="41909"/>
    <n v="9590"/>
  </r>
  <r>
    <s v="ORD-1030"/>
    <x v="29"/>
    <x v="3"/>
    <x v="3"/>
    <x v="1"/>
    <x v="2"/>
    <n v="9"/>
    <n v="35378"/>
    <n v="44624"/>
    <n v="318402"/>
    <n v="401616"/>
    <n v="83214"/>
  </r>
  <r>
    <s v="ORD-1031"/>
    <x v="30"/>
    <x v="0"/>
    <x v="1"/>
    <x v="0"/>
    <x v="3"/>
    <n v="8"/>
    <n v="15904"/>
    <n v="23786"/>
    <n v="127232"/>
    <n v="190288"/>
    <n v="63056"/>
  </r>
  <r>
    <s v="ORD-1032"/>
    <x v="31"/>
    <x v="2"/>
    <x v="5"/>
    <x v="1"/>
    <x v="1"/>
    <n v="6"/>
    <n v="36821"/>
    <n v="39737"/>
    <n v="220926"/>
    <n v="238422"/>
    <n v="17496"/>
  </r>
  <r>
    <s v="ORD-1033"/>
    <x v="32"/>
    <x v="0"/>
    <x v="4"/>
    <x v="0"/>
    <x v="0"/>
    <n v="3"/>
    <n v="15097"/>
    <n v="20532"/>
    <n v="45291"/>
    <n v="61596"/>
    <n v="16305"/>
  </r>
  <r>
    <s v="ORD-1034"/>
    <x v="33"/>
    <x v="3"/>
    <x v="2"/>
    <x v="0"/>
    <x v="0"/>
    <n v="2"/>
    <n v="28470"/>
    <n v="37949"/>
    <n v="56940"/>
    <n v="75898"/>
    <n v="18958"/>
  </r>
  <r>
    <s v="ORD-1035"/>
    <x v="34"/>
    <x v="3"/>
    <x v="5"/>
    <x v="1"/>
    <x v="5"/>
    <n v="8"/>
    <n v="21802"/>
    <n v="30637"/>
    <n v="174416"/>
    <n v="245096"/>
    <n v="70680"/>
  </r>
  <r>
    <s v="ORD-1036"/>
    <x v="35"/>
    <x v="1"/>
    <x v="0"/>
    <x v="1"/>
    <x v="5"/>
    <n v="7"/>
    <n v="35142"/>
    <n v="36525"/>
    <n v="245994"/>
    <n v="255675"/>
    <n v="9681"/>
  </r>
  <r>
    <s v="ORD-1037"/>
    <x v="36"/>
    <x v="1"/>
    <x v="0"/>
    <x v="1"/>
    <x v="1"/>
    <n v="10"/>
    <n v="25458"/>
    <n v="26741"/>
    <n v="254580"/>
    <n v="267410"/>
    <n v="12830"/>
  </r>
  <r>
    <s v="ORD-1038"/>
    <x v="37"/>
    <x v="3"/>
    <x v="4"/>
    <x v="0"/>
    <x v="0"/>
    <n v="1"/>
    <n v="34051"/>
    <n v="34743"/>
    <n v="34051"/>
    <n v="34743"/>
    <n v="692"/>
  </r>
  <r>
    <s v="ORD-1039"/>
    <x v="38"/>
    <x v="3"/>
    <x v="2"/>
    <x v="0"/>
    <x v="0"/>
    <n v="1"/>
    <n v="11366"/>
    <n v="13407"/>
    <n v="11366"/>
    <n v="13407"/>
    <n v="2041"/>
  </r>
  <r>
    <s v="ORD-1040"/>
    <x v="39"/>
    <x v="1"/>
    <x v="0"/>
    <x v="1"/>
    <x v="2"/>
    <n v="7"/>
    <n v="13921"/>
    <n v="14739"/>
    <n v="97447"/>
    <n v="103173"/>
    <n v="5726"/>
  </r>
  <r>
    <s v="ORD-1041"/>
    <x v="40"/>
    <x v="3"/>
    <x v="3"/>
    <x v="0"/>
    <x v="4"/>
    <n v="10"/>
    <n v="9265"/>
    <n v="16340"/>
    <n v="92650"/>
    <n v="163400"/>
    <n v="70750"/>
  </r>
  <r>
    <s v="ORD-1042"/>
    <x v="41"/>
    <x v="1"/>
    <x v="0"/>
    <x v="1"/>
    <x v="5"/>
    <n v="2"/>
    <n v="26990"/>
    <n v="33262"/>
    <n v="53980"/>
    <n v="66524"/>
    <n v="12544"/>
  </r>
  <r>
    <s v="ORD-1043"/>
    <x v="42"/>
    <x v="3"/>
    <x v="1"/>
    <x v="0"/>
    <x v="3"/>
    <n v="2"/>
    <n v="22904"/>
    <n v="31832"/>
    <n v="45808"/>
    <n v="63664"/>
    <n v="17856"/>
  </r>
  <r>
    <s v="ORD-1044"/>
    <x v="43"/>
    <x v="2"/>
    <x v="3"/>
    <x v="0"/>
    <x v="0"/>
    <n v="2"/>
    <n v="10200"/>
    <n v="19241"/>
    <n v="20400"/>
    <n v="38482"/>
    <n v="18082"/>
  </r>
  <r>
    <s v="ORD-1045"/>
    <x v="44"/>
    <x v="2"/>
    <x v="5"/>
    <x v="0"/>
    <x v="3"/>
    <n v="3"/>
    <n v="18600"/>
    <n v="24967"/>
    <n v="55800"/>
    <n v="74901"/>
    <n v="19101"/>
  </r>
  <r>
    <s v="ORD-1046"/>
    <x v="45"/>
    <x v="2"/>
    <x v="1"/>
    <x v="1"/>
    <x v="5"/>
    <n v="4"/>
    <n v="39975"/>
    <n v="43568"/>
    <n v="159900"/>
    <n v="174272"/>
    <n v="14372"/>
  </r>
  <r>
    <s v="ORD-1047"/>
    <x v="46"/>
    <x v="1"/>
    <x v="5"/>
    <x v="1"/>
    <x v="1"/>
    <n v="3"/>
    <n v="17392"/>
    <n v="22142"/>
    <n v="52176"/>
    <n v="66426"/>
    <n v="14250"/>
  </r>
  <r>
    <s v="ORD-1048"/>
    <x v="47"/>
    <x v="0"/>
    <x v="0"/>
    <x v="1"/>
    <x v="5"/>
    <n v="6"/>
    <n v="14288"/>
    <n v="23843"/>
    <n v="85728"/>
    <n v="143058"/>
    <n v="57330"/>
  </r>
  <r>
    <s v="ORD-1049"/>
    <x v="48"/>
    <x v="0"/>
    <x v="4"/>
    <x v="0"/>
    <x v="0"/>
    <n v="3"/>
    <n v="35038"/>
    <n v="35770"/>
    <n v="105114"/>
    <n v="107310"/>
    <n v="2196"/>
  </r>
  <r>
    <s v="ORD-1050"/>
    <x v="49"/>
    <x v="2"/>
    <x v="3"/>
    <x v="0"/>
    <x v="0"/>
    <n v="3"/>
    <n v="24443"/>
    <n v="29661"/>
    <n v="73329"/>
    <n v="88983"/>
    <n v="15654"/>
  </r>
  <r>
    <s v="ORD-1051"/>
    <x v="50"/>
    <x v="2"/>
    <x v="2"/>
    <x v="0"/>
    <x v="3"/>
    <n v="6"/>
    <n v="12654"/>
    <n v="17365"/>
    <n v="75924"/>
    <n v="104190"/>
    <n v="28266"/>
  </r>
  <r>
    <s v="ORD-1052"/>
    <x v="51"/>
    <x v="1"/>
    <x v="3"/>
    <x v="1"/>
    <x v="5"/>
    <n v="7"/>
    <n v="30937"/>
    <n v="36858"/>
    <n v="216559"/>
    <n v="258006"/>
    <n v="41447"/>
  </r>
  <r>
    <s v="ORD-1053"/>
    <x v="52"/>
    <x v="3"/>
    <x v="1"/>
    <x v="1"/>
    <x v="1"/>
    <n v="6"/>
    <n v="39139"/>
    <n v="43375"/>
    <n v="234834"/>
    <n v="260250"/>
    <n v="25416"/>
  </r>
  <r>
    <s v="ORD-1054"/>
    <x v="53"/>
    <x v="1"/>
    <x v="2"/>
    <x v="0"/>
    <x v="4"/>
    <n v="6"/>
    <n v="29642"/>
    <n v="33246"/>
    <n v="177852"/>
    <n v="199476"/>
    <n v="21624"/>
  </r>
  <r>
    <s v="ORD-1055"/>
    <x v="54"/>
    <x v="3"/>
    <x v="3"/>
    <x v="0"/>
    <x v="0"/>
    <n v="6"/>
    <n v="20154"/>
    <n v="25640"/>
    <n v="120924"/>
    <n v="153840"/>
    <n v="32916"/>
  </r>
  <r>
    <s v="ORD-1056"/>
    <x v="55"/>
    <x v="3"/>
    <x v="1"/>
    <x v="0"/>
    <x v="0"/>
    <n v="3"/>
    <n v="18997"/>
    <n v="25919"/>
    <n v="56991"/>
    <n v="77757"/>
    <n v="20766"/>
  </r>
  <r>
    <s v="ORD-1057"/>
    <x v="56"/>
    <x v="1"/>
    <x v="2"/>
    <x v="0"/>
    <x v="4"/>
    <n v="5"/>
    <n v="4736"/>
    <n v="5968"/>
    <n v="23680"/>
    <n v="29840"/>
    <n v="6160"/>
  </r>
  <r>
    <s v="ORD-1058"/>
    <x v="57"/>
    <x v="2"/>
    <x v="5"/>
    <x v="1"/>
    <x v="2"/>
    <n v="7"/>
    <n v="4073"/>
    <n v="10914"/>
    <n v="28511"/>
    <n v="76398"/>
    <n v="47887"/>
  </r>
  <r>
    <s v="ORD-1059"/>
    <x v="58"/>
    <x v="1"/>
    <x v="0"/>
    <x v="0"/>
    <x v="4"/>
    <n v="9"/>
    <n v="33144"/>
    <n v="37652"/>
    <n v="298296"/>
    <n v="338868"/>
    <n v="40572"/>
  </r>
  <r>
    <s v="ORD-1060"/>
    <x v="59"/>
    <x v="3"/>
    <x v="5"/>
    <x v="0"/>
    <x v="0"/>
    <n v="9"/>
    <n v="36576"/>
    <n v="44663"/>
    <n v="329184"/>
    <n v="401967"/>
    <n v="72783"/>
  </r>
  <r>
    <s v="ORD-1061"/>
    <x v="60"/>
    <x v="0"/>
    <x v="2"/>
    <x v="1"/>
    <x v="1"/>
    <n v="6"/>
    <n v="19606"/>
    <n v="23656"/>
    <n v="117636"/>
    <n v="141936"/>
    <n v="24300"/>
  </r>
  <r>
    <s v="ORD-1062"/>
    <x v="61"/>
    <x v="1"/>
    <x v="1"/>
    <x v="0"/>
    <x v="4"/>
    <n v="7"/>
    <n v="17351"/>
    <n v="17789"/>
    <n v="121457"/>
    <n v="124523"/>
    <n v="3066"/>
  </r>
  <r>
    <s v="ORD-1063"/>
    <x v="62"/>
    <x v="2"/>
    <x v="5"/>
    <x v="1"/>
    <x v="1"/>
    <n v="8"/>
    <n v="28386"/>
    <n v="36029"/>
    <n v="227088"/>
    <n v="288232"/>
    <n v="61144"/>
  </r>
  <r>
    <s v="ORD-1064"/>
    <x v="63"/>
    <x v="0"/>
    <x v="4"/>
    <x v="1"/>
    <x v="1"/>
    <n v="5"/>
    <n v="30737"/>
    <n v="39639"/>
    <n v="153685"/>
    <n v="198195"/>
    <n v="44510"/>
  </r>
  <r>
    <s v="ORD-1065"/>
    <x v="64"/>
    <x v="3"/>
    <x v="0"/>
    <x v="0"/>
    <x v="4"/>
    <n v="9"/>
    <n v="23908"/>
    <n v="25435"/>
    <n v="215172"/>
    <n v="228915"/>
    <n v="13743"/>
  </r>
  <r>
    <s v="ORD-1066"/>
    <x v="65"/>
    <x v="1"/>
    <x v="1"/>
    <x v="1"/>
    <x v="5"/>
    <n v="6"/>
    <n v="32460"/>
    <n v="42231"/>
    <n v="194760"/>
    <n v="253386"/>
    <n v="58626"/>
  </r>
  <r>
    <s v="ORD-1067"/>
    <x v="66"/>
    <x v="2"/>
    <x v="3"/>
    <x v="0"/>
    <x v="4"/>
    <n v="7"/>
    <n v="22994"/>
    <n v="29977"/>
    <n v="160958"/>
    <n v="209839"/>
    <n v="48881"/>
  </r>
  <r>
    <s v="ORD-1068"/>
    <x v="67"/>
    <x v="1"/>
    <x v="5"/>
    <x v="0"/>
    <x v="3"/>
    <n v="1"/>
    <n v="30549"/>
    <n v="38349"/>
    <n v="30549"/>
    <n v="38349"/>
    <n v="7800"/>
  </r>
  <r>
    <s v="ORD-1069"/>
    <x v="68"/>
    <x v="2"/>
    <x v="0"/>
    <x v="0"/>
    <x v="3"/>
    <n v="6"/>
    <n v="33430"/>
    <n v="37893"/>
    <n v="200580"/>
    <n v="227358"/>
    <n v="26778"/>
  </r>
  <r>
    <s v="ORD-1070"/>
    <x v="69"/>
    <x v="0"/>
    <x v="5"/>
    <x v="1"/>
    <x v="1"/>
    <n v="5"/>
    <n v="35197"/>
    <n v="37896"/>
    <n v="175985"/>
    <n v="189480"/>
    <n v="13495"/>
  </r>
  <r>
    <s v="ORD-1071"/>
    <x v="70"/>
    <x v="3"/>
    <x v="4"/>
    <x v="1"/>
    <x v="1"/>
    <n v="1"/>
    <n v="27078"/>
    <n v="31452"/>
    <n v="27078"/>
    <n v="31452"/>
    <n v="4374"/>
  </r>
  <r>
    <s v="ORD-1072"/>
    <x v="71"/>
    <x v="1"/>
    <x v="1"/>
    <x v="0"/>
    <x v="3"/>
    <n v="5"/>
    <n v="12205"/>
    <n v="17630"/>
    <n v="61025"/>
    <n v="88150"/>
    <n v="27125"/>
  </r>
  <r>
    <s v="ORD-1073"/>
    <x v="72"/>
    <x v="0"/>
    <x v="3"/>
    <x v="1"/>
    <x v="2"/>
    <n v="4"/>
    <n v="3369"/>
    <n v="6143"/>
    <n v="13476"/>
    <n v="24572"/>
    <n v="11096"/>
  </r>
  <r>
    <s v="ORD-1074"/>
    <x v="73"/>
    <x v="1"/>
    <x v="3"/>
    <x v="1"/>
    <x v="5"/>
    <n v="1"/>
    <n v="36937"/>
    <n v="39506"/>
    <n v="36937"/>
    <n v="39506"/>
    <n v="2569"/>
  </r>
  <r>
    <s v="ORD-1075"/>
    <x v="74"/>
    <x v="2"/>
    <x v="1"/>
    <x v="1"/>
    <x v="1"/>
    <n v="8"/>
    <n v="34805"/>
    <n v="41124"/>
    <n v="278440"/>
    <n v="328992"/>
    <n v="50552"/>
  </r>
  <r>
    <s v="ORD-1076"/>
    <x v="75"/>
    <x v="3"/>
    <x v="5"/>
    <x v="0"/>
    <x v="3"/>
    <n v="1"/>
    <n v="30007"/>
    <n v="32685"/>
    <n v="30007"/>
    <n v="32685"/>
    <n v="2678"/>
  </r>
  <r>
    <s v="ORD-1077"/>
    <x v="76"/>
    <x v="1"/>
    <x v="4"/>
    <x v="1"/>
    <x v="5"/>
    <n v="4"/>
    <n v="7074"/>
    <n v="11049"/>
    <n v="28296"/>
    <n v="44196"/>
    <n v="15900"/>
  </r>
  <r>
    <s v="ORD-1078"/>
    <x v="77"/>
    <x v="1"/>
    <x v="0"/>
    <x v="0"/>
    <x v="0"/>
    <n v="8"/>
    <n v="7081"/>
    <n v="12601"/>
    <n v="56648"/>
    <n v="100808"/>
    <n v="44160"/>
  </r>
  <r>
    <s v="ORD-1079"/>
    <x v="78"/>
    <x v="0"/>
    <x v="2"/>
    <x v="1"/>
    <x v="1"/>
    <n v="2"/>
    <n v="11952"/>
    <n v="20595"/>
    <n v="23904"/>
    <n v="41190"/>
    <n v="17286"/>
  </r>
  <r>
    <s v="ORD-1080"/>
    <x v="79"/>
    <x v="1"/>
    <x v="4"/>
    <x v="1"/>
    <x v="5"/>
    <n v="4"/>
    <n v="19410"/>
    <n v="20626"/>
    <n v="77640"/>
    <n v="82504"/>
    <n v="4864"/>
  </r>
  <r>
    <s v="ORD-1081"/>
    <x v="80"/>
    <x v="0"/>
    <x v="3"/>
    <x v="0"/>
    <x v="3"/>
    <n v="3"/>
    <n v="29187"/>
    <n v="32082"/>
    <n v="87561"/>
    <n v="96246"/>
    <n v="8685"/>
  </r>
  <r>
    <s v="ORD-1082"/>
    <x v="81"/>
    <x v="1"/>
    <x v="0"/>
    <x v="0"/>
    <x v="3"/>
    <n v="10"/>
    <n v="19042"/>
    <n v="21257"/>
    <n v="190420"/>
    <n v="212570"/>
    <n v="22150"/>
  </r>
  <r>
    <s v="ORD-1083"/>
    <x v="82"/>
    <x v="3"/>
    <x v="5"/>
    <x v="1"/>
    <x v="1"/>
    <n v="7"/>
    <n v="16048"/>
    <n v="16326"/>
    <n v="112336"/>
    <n v="114282"/>
    <n v="1946"/>
  </r>
  <r>
    <s v="ORD-1084"/>
    <x v="83"/>
    <x v="0"/>
    <x v="2"/>
    <x v="1"/>
    <x v="2"/>
    <n v="6"/>
    <n v="33812"/>
    <n v="43263"/>
    <n v="202872"/>
    <n v="259578"/>
    <n v="56706"/>
  </r>
  <r>
    <s v="ORD-1085"/>
    <x v="84"/>
    <x v="2"/>
    <x v="3"/>
    <x v="0"/>
    <x v="4"/>
    <n v="10"/>
    <n v="11329"/>
    <n v="11827"/>
    <n v="113290"/>
    <n v="118270"/>
    <n v="4980"/>
  </r>
  <r>
    <s v="ORD-1086"/>
    <x v="85"/>
    <x v="1"/>
    <x v="3"/>
    <x v="1"/>
    <x v="5"/>
    <n v="9"/>
    <n v="14704"/>
    <n v="21844"/>
    <n v="132336"/>
    <n v="196596"/>
    <n v="64260"/>
  </r>
  <r>
    <s v="ORD-1087"/>
    <x v="86"/>
    <x v="1"/>
    <x v="2"/>
    <x v="0"/>
    <x v="0"/>
    <n v="3"/>
    <n v="18202"/>
    <n v="22196"/>
    <n v="54606"/>
    <n v="66588"/>
    <n v="11982"/>
  </r>
  <r>
    <s v="ORD-1088"/>
    <x v="87"/>
    <x v="0"/>
    <x v="5"/>
    <x v="1"/>
    <x v="2"/>
    <n v="10"/>
    <n v="7238"/>
    <n v="9876"/>
    <n v="72380"/>
    <n v="98760"/>
    <n v="26380"/>
  </r>
  <r>
    <s v="ORD-1089"/>
    <x v="88"/>
    <x v="1"/>
    <x v="1"/>
    <x v="0"/>
    <x v="4"/>
    <n v="4"/>
    <n v="27876"/>
    <n v="34141"/>
    <n v="111504"/>
    <n v="136564"/>
    <n v="25060"/>
  </r>
  <r>
    <s v="ORD-1090"/>
    <x v="89"/>
    <x v="3"/>
    <x v="3"/>
    <x v="0"/>
    <x v="0"/>
    <n v="3"/>
    <n v="36655"/>
    <n v="37015"/>
    <n v="109965"/>
    <n v="111045"/>
    <n v="1080"/>
  </r>
  <r>
    <s v="ORD-1091"/>
    <x v="90"/>
    <x v="1"/>
    <x v="4"/>
    <x v="0"/>
    <x v="4"/>
    <n v="5"/>
    <n v="21165"/>
    <n v="22995"/>
    <n v="105825"/>
    <n v="114975"/>
    <n v="9150"/>
  </r>
  <r>
    <s v="ORD-1092"/>
    <x v="91"/>
    <x v="3"/>
    <x v="3"/>
    <x v="0"/>
    <x v="3"/>
    <n v="7"/>
    <n v="7948"/>
    <n v="11686"/>
    <n v="55636"/>
    <n v="81802"/>
    <n v="26166"/>
  </r>
  <r>
    <s v="ORD-1093"/>
    <x v="92"/>
    <x v="1"/>
    <x v="5"/>
    <x v="1"/>
    <x v="1"/>
    <n v="5"/>
    <n v="12571"/>
    <n v="20774"/>
    <n v="62855"/>
    <n v="103870"/>
    <n v="41015"/>
  </r>
  <r>
    <s v="ORD-1094"/>
    <x v="93"/>
    <x v="2"/>
    <x v="4"/>
    <x v="0"/>
    <x v="3"/>
    <n v="7"/>
    <n v="11880"/>
    <n v="12597"/>
    <n v="83160"/>
    <n v="88179"/>
    <n v="5019"/>
  </r>
  <r>
    <s v="ORD-1095"/>
    <x v="94"/>
    <x v="3"/>
    <x v="3"/>
    <x v="0"/>
    <x v="4"/>
    <n v="4"/>
    <n v="14808"/>
    <n v="23237"/>
    <n v="59232"/>
    <n v="92948"/>
    <n v="33716"/>
  </r>
  <r>
    <s v="ORD-1096"/>
    <x v="95"/>
    <x v="1"/>
    <x v="1"/>
    <x v="1"/>
    <x v="2"/>
    <n v="9"/>
    <n v="14728"/>
    <n v="19569"/>
    <n v="132552"/>
    <n v="176121"/>
    <n v="43569"/>
  </r>
  <r>
    <s v="ORD-1097"/>
    <x v="96"/>
    <x v="0"/>
    <x v="1"/>
    <x v="0"/>
    <x v="0"/>
    <n v="10"/>
    <n v="21577"/>
    <n v="24858"/>
    <n v="215770"/>
    <n v="248580"/>
    <n v="32810"/>
  </r>
  <r>
    <s v="ORD-1098"/>
    <x v="97"/>
    <x v="0"/>
    <x v="0"/>
    <x v="1"/>
    <x v="1"/>
    <n v="1"/>
    <n v="20680"/>
    <n v="24395"/>
    <n v="20680"/>
    <n v="24395"/>
    <n v="3715"/>
  </r>
  <r>
    <s v="ORD-1099"/>
    <x v="98"/>
    <x v="0"/>
    <x v="0"/>
    <x v="0"/>
    <x v="3"/>
    <n v="4"/>
    <n v="2704"/>
    <n v="3473"/>
    <n v="10816"/>
    <n v="13892"/>
    <n v="3076"/>
  </r>
  <r>
    <s v="ORD-1100"/>
    <x v="99"/>
    <x v="2"/>
    <x v="1"/>
    <x v="1"/>
    <x v="5"/>
    <n v="4"/>
    <n v="13297"/>
    <n v="21897"/>
    <n v="53188"/>
    <n v="87588"/>
    <n v="34400"/>
  </r>
  <r>
    <s v="ORD-1101"/>
    <x v="100"/>
    <x v="3"/>
    <x v="1"/>
    <x v="1"/>
    <x v="1"/>
    <n v="1"/>
    <n v="5827"/>
    <n v="13208"/>
    <n v="5827"/>
    <n v="13208"/>
    <n v="7381"/>
  </r>
  <r>
    <s v="ORD-1102"/>
    <x v="101"/>
    <x v="0"/>
    <x v="0"/>
    <x v="0"/>
    <x v="3"/>
    <n v="1"/>
    <n v="31429"/>
    <n v="38435"/>
    <n v="31429"/>
    <n v="38435"/>
    <n v="7006"/>
  </r>
  <r>
    <s v="ORD-1103"/>
    <x v="102"/>
    <x v="3"/>
    <x v="0"/>
    <x v="0"/>
    <x v="0"/>
    <n v="5"/>
    <n v="16593"/>
    <n v="21660"/>
    <n v="82965"/>
    <n v="108300"/>
    <n v="25335"/>
  </r>
  <r>
    <s v="ORD-1104"/>
    <x v="103"/>
    <x v="1"/>
    <x v="1"/>
    <x v="1"/>
    <x v="2"/>
    <n v="9"/>
    <n v="33997"/>
    <n v="38959"/>
    <n v="305973"/>
    <n v="350631"/>
    <n v="44658"/>
  </r>
  <r>
    <s v="ORD-1105"/>
    <x v="104"/>
    <x v="3"/>
    <x v="2"/>
    <x v="0"/>
    <x v="3"/>
    <n v="10"/>
    <n v="9833"/>
    <n v="19037"/>
    <n v="98330"/>
    <n v="190370"/>
    <n v="92040"/>
  </r>
  <r>
    <s v="ORD-1106"/>
    <x v="105"/>
    <x v="0"/>
    <x v="1"/>
    <x v="1"/>
    <x v="5"/>
    <n v="8"/>
    <n v="20239"/>
    <n v="28077"/>
    <n v="161912"/>
    <n v="224616"/>
    <n v="62704"/>
  </r>
  <r>
    <s v="ORD-1107"/>
    <x v="106"/>
    <x v="3"/>
    <x v="3"/>
    <x v="1"/>
    <x v="1"/>
    <n v="8"/>
    <n v="3114"/>
    <n v="7046"/>
    <n v="24912"/>
    <n v="56368"/>
    <n v="31456"/>
  </r>
  <r>
    <s v="ORD-1108"/>
    <x v="107"/>
    <x v="0"/>
    <x v="5"/>
    <x v="1"/>
    <x v="2"/>
    <n v="5"/>
    <n v="24468"/>
    <n v="24901"/>
    <n v="122340"/>
    <n v="124505"/>
    <n v="2165"/>
  </r>
  <r>
    <s v="ORD-1109"/>
    <x v="108"/>
    <x v="2"/>
    <x v="5"/>
    <x v="1"/>
    <x v="2"/>
    <n v="3"/>
    <n v="31720"/>
    <n v="39258"/>
    <n v="95160"/>
    <n v="117774"/>
    <n v="22614"/>
  </r>
  <r>
    <s v="ORD-1110"/>
    <x v="109"/>
    <x v="1"/>
    <x v="4"/>
    <x v="1"/>
    <x v="1"/>
    <n v="9"/>
    <n v="22453"/>
    <n v="30784"/>
    <n v="202077"/>
    <n v="277056"/>
    <n v="74979"/>
  </r>
  <r>
    <s v="ORD-1111"/>
    <x v="110"/>
    <x v="3"/>
    <x v="1"/>
    <x v="1"/>
    <x v="5"/>
    <n v="8"/>
    <n v="7053"/>
    <n v="16102"/>
    <n v="56424"/>
    <n v="128816"/>
    <n v="72392"/>
  </r>
  <r>
    <s v="ORD-1112"/>
    <x v="111"/>
    <x v="0"/>
    <x v="1"/>
    <x v="1"/>
    <x v="2"/>
    <n v="1"/>
    <n v="26743"/>
    <n v="32385"/>
    <n v="26743"/>
    <n v="32385"/>
    <n v="5642"/>
  </r>
  <r>
    <s v="ORD-1113"/>
    <x v="112"/>
    <x v="2"/>
    <x v="3"/>
    <x v="0"/>
    <x v="0"/>
    <n v="9"/>
    <n v="31940"/>
    <n v="41177"/>
    <n v="287460"/>
    <n v="370593"/>
    <n v="83133"/>
  </r>
  <r>
    <s v="ORD-1114"/>
    <x v="113"/>
    <x v="2"/>
    <x v="1"/>
    <x v="0"/>
    <x v="4"/>
    <n v="3"/>
    <n v="11414"/>
    <n v="15330"/>
    <n v="34242"/>
    <n v="45990"/>
    <n v="11748"/>
  </r>
  <r>
    <s v="ORD-1115"/>
    <x v="114"/>
    <x v="3"/>
    <x v="5"/>
    <x v="1"/>
    <x v="1"/>
    <n v="6"/>
    <n v="29348"/>
    <n v="31954"/>
    <n v="176088"/>
    <n v="191724"/>
    <n v="15636"/>
  </r>
  <r>
    <s v="ORD-1116"/>
    <x v="115"/>
    <x v="0"/>
    <x v="3"/>
    <x v="0"/>
    <x v="0"/>
    <n v="9"/>
    <n v="35944"/>
    <n v="39579"/>
    <n v="323496"/>
    <n v="356211"/>
    <n v="32715"/>
  </r>
  <r>
    <s v="ORD-1117"/>
    <x v="116"/>
    <x v="3"/>
    <x v="2"/>
    <x v="1"/>
    <x v="2"/>
    <n v="4"/>
    <n v="10728"/>
    <n v="13095"/>
    <n v="42912"/>
    <n v="52380"/>
    <n v="9468"/>
  </r>
  <r>
    <s v="ORD-1118"/>
    <x v="117"/>
    <x v="3"/>
    <x v="5"/>
    <x v="1"/>
    <x v="5"/>
    <n v="7"/>
    <n v="4640"/>
    <n v="6725"/>
    <n v="32480"/>
    <n v="47075"/>
    <n v="14595"/>
  </r>
  <r>
    <s v="ORD-1119"/>
    <x v="118"/>
    <x v="0"/>
    <x v="2"/>
    <x v="0"/>
    <x v="4"/>
    <n v="9"/>
    <n v="10268"/>
    <n v="20253"/>
    <n v="92412"/>
    <n v="182277"/>
    <n v="89865"/>
  </r>
  <r>
    <s v="ORD-1120"/>
    <x v="119"/>
    <x v="1"/>
    <x v="5"/>
    <x v="0"/>
    <x v="3"/>
    <n v="7"/>
    <n v="32620"/>
    <n v="35560"/>
    <n v="228340"/>
    <n v="248920"/>
    <n v="20580"/>
  </r>
  <r>
    <s v="ORD-1121"/>
    <x v="120"/>
    <x v="0"/>
    <x v="1"/>
    <x v="1"/>
    <x v="1"/>
    <n v="9"/>
    <n v="22858"/>
    <n v="27537"/>
    <n v="205722"/>
    <n v="247833"/>
    <n v="42111"/>
  </r>
  <r>
    <s v="ORD-1122"/>
    <x v="121"/>
    <x v="1"/>
    <x v="5"/>
    <x v="1"/>
    <x v="1"/>
    <n v="9"/>
    <n v="9650"/>
    <n v="19095"/>
    <n v="86850"/>
    <n v="171855"/>
    <n v="85005"/>
  </r>
  <r>
    <s v="ORD-1123"/>
    <x v="122"/>
    <x v="1"/>
    <x v="2"/>
    <x v="0"/>
    <x v="3"/>
    <n v="7"/>
    <n v="23050"/>
    <n v="26386"/>
    <n v="161350"/>
    <n v="184702"/>
    <n v="23352"/>
  </r>
  <r>
    <s v="ORD-1124"/>
    <x v="123"/>
    <x v="1"/>
    <x v="3"/>
    <x v="1"/>
    <x v="2"/>
    <n v="5"/>
    <n v="2278"/>
    <n v="10813"/>
    <n v="11390"/>
    <n v="54065"/>
    <n v="42675"/>
  </r>
  <r>
    <s v="ORD-1125"/>
    <x v="124"/>
    <x v="3"/>
    <x v="2"/>
    <x v="1"/>
    <x v="1"/>
    <n v="2"/>
    <n v="31576"/>
    <n v="32037"/>
    <n v="63152"/>
    <n v="64074"/>
    <n v="922"/>
  </r>
  <r>
    <s v="ORD-1126"/>
    <x v="125"/>
    <x v="1"/>
    <x v="2"/>
    <x v="1"/>
    <x v="2"/>
    <n v="1"/>
    <n v="31405"/>
    <n v="38163"/>
    <n v="31405"/>
    <n v="38163"/>
    <n v="6758"/>
  </r>
  <r>
    <s v="ORD-1127"/>
    <x v="126"/>
    <x v="0"/>
    <x v="5"/>
    <x v="1"/>
    <x v="1"/>
    <n v="4"/>
    <n v="18621"/>
    <n v="27256"/>
    <n v="74484"/>
    <n v="109024"/>
    <n v="34540"/>
  </r>
  <r>
    <s v="ORD-1128"/>
    <x v="127"/>
    <x v="2"/>
    <x v="0"/>
    <x v="0"/>
    <x v="3"/>
    <n v="3"/>
    <n v="33463"/>
    <n v="39589"/>
    <n v="100389"/>
    <n v="118767"/>
    <n v="18378"/>
  </r>
  <r>
    <s v="ORD-1129"/>
    <x v="128"/>
    <x v="3"/>
    <x v="5"/>
    <x v="1"/>
    <x v="1"/>
    <n v="2"/>
    <n v="24639"/>
    <n v="33085"/>
    <n v="49278"/>
    <n v="66170"/>
    <n v="16892"/>
  </r>
  <r>
    <s v="ORD-1130"/>
    <x v="129"/>
    <x v="0"/>
    <x v="2"/>
    <x v="0"/>
    <x v="4"/>
    <n v="10"/>
    <n v="38923"/>
    <n v="47511"/>
    <n v="389230"/>
    <n v="475110"/>
    <n v="85880"/>
  </r>
  <r>
    <s v="ORD-1131"/>
    <x v="130"/>
    <x v="1"/>
    <x v="5"/>
    <x v="0"/>
    <x v="4"/>
    <n v="5"/>
    <n v="26245"/>
    <n v="32922"/>
    <n v="131225"/>
    <n v="164610"/>
    <n v="33385"/>
  </r>
  <r>
    <s v="ORD-1132"/>
    <x v="131"/>
    <x v="3"/>
    <x v="0"/>
    <x v="1"/>
    <x v="2"/>
    <n v="10"/>
    <n v="15199"/>
    <n v="18732"/>
    <n v="151990"/>
    <n v="187320"/>
    <n v="35330"/>
  </r>
  <r>
    <s v="ORD-1133"/>
    <x v="132"/>
    <x v="3"/>
    <x v="1"/>
    <x v="0"/>
    <x v="4"/>
    <n v="8"/>
    <n v="12818"/>
    <n v="15686"/>
    <n v="102544"/>
    <n v="125488"/>
    <n v="22944"/>
  </r>
  <r>
    <s v="ORD-1134"/>
    <x v="133"/>
    <x v="3"/>
    <x v="5"/>
    <x v="1"/>
    <x v="1"/>
    <n v="2"/>
    <n v="15044"/>
    <n v="22854"/>
    <n v="30088"/>
    <n v="45708"/>
    <n v="15620"/>
  </r>
  <r>
    <s v="ORD-1135"/>
    <x v="134"/>
    <x v="0"/>
    <x v="0"/>
    <x v="1"/>
    <x v="5"/>
    <n v="3"/>
    <n v="37438"/>
    <n v="40026"/>
    <n v="112314"/>
    <n v="120078"/>
    <n v="7764"/>
  </r>
  <r>
    <s v="ORD-1136"/>
    <x v="135"/>
    <x v="1"/>
    <x v="0"/>
    <x v="0"/>
    <x v="0"/>
    <n v="5"/>
    <n v="26503"/>
    <n v="35002"/>
    <n v="132515"/>
    <n v="175010"/>
    <n v="42495"/>
  </r>
  <r>
    <s v="ORD-1137"/>
    <x v="136"/>
    <x v="0"/>
    <x v="3"/>
    <x v="1"/>
    <x v="2"/>
    <n v="5"/>
    <n v="29345"/>
    <n v="37658"/>
    <n v="146725"/>
    <n v="188290"/>
    <n v="41565"/>
  </r>
  <r>
    <s v="ORD-1138"/>
    <x v="137"/>
    <x v="3"/>
    <x v="1"/>
    <x v="0"/>
    <x v="3"/>
    <n v="8"/>
    <n v="35019"/>
    <n v="39344"/>
    <n v="280152"/>
    <n v="314752"/>
    <n v="34600"/>
  </r>
  <r>
    <s v="ORD-1139"/>
    <x v="138"/>
    <x v="3"/>
    <x v="5"/>
    <x v="1"/>
    <x v="5"/>
    <n v="8"/>
    <n v="2405"/>
    <n v="7433"/>
    <n v="19240"/>
    <n v="59464"/>
    <n v="40224"/>
  </r>
  <r>
    <s v="ORD-1140"/>
    <x v="139"/>
    <x v="0"/>
    <x v="4"/>
    <x v="0"/>
    <x v="3"/>
    <n v="3"/>
    <n v="23931"/>
    <n v="25959"/>
    <n v="71793"/>
    <n v="77877"/>
    <n v="6084"/>
  </r>
  <r>
    <s v="ORD-1141"/>
    <x v="140"/>
    <x v="2"/>
    <x v="5"/>
    <x v="1"/>
    <x v="5"/>
    <n v="9"/>
    <n v="2427"/>
    <n v="2858"/>
    <n v="21843"/>
    <n v="25722"/>
    <n v="3879"/>
  </r>
  <r>
    <s v="ORD-1142"/>
    <x v="141"/>
    <x v="3"/>
    <x v="4"/>
    <x v="1"/>
    <x v="2"/>
    <n v="7"/>
    <n v="11433"/>
    <n v="16098"/>
    <n v="80031"/>
    <n v="112686"/>
    <n v="32655"/>
  </r>
  <r>
    <s v="ORD-1143"/>
    <x v="142"/>
    <x v="2"/>
    <x v="5"/>
    <x v="1"/>
    <x v="1"/>
    <n v="3"/>
    <n v="8943"/>
    <n v="16412"/>
    <n v="26829"/>
    <n v="49236"/>
    <n v="22407"/>
  </r>
  <r>
    <s v="ORD-1144"/>
    <x v="143"/>
    <x v="1"/>
    <x v="1"/>
    <x v="0"/>
    <x v="4"/>
    <n v="6"/>
    <n v="9032"/>
    <n v="10792"/>
    <n v="54192"/>
    <n v="64752"/>
    <n v="10560"/>
  </r>
  <r>
    <s v="ORD-1145"/>
    <x v="144"/>
    <x v="0"/>
    <x v="1"/>
    <x v="0"/>
    <x v="4"/>
    <n v="7"/>
    <n v="39346"/>
    <n v="46565"/>
    <n v="275422"/>
    <n v="325955"/>
    <n v="50533"/>
  </r>
  <r>
    <s v="ORD-1146"/>
    <x v="145"/>
    <x v="2"/>
    <x v="3"/>
    <x v="1"/>
    <x v="5"/>
    <n v="4"/>
    <n v="39425"/>
    <n v="41215"/>
    <n v="157700"/>
    <n v="164860"/>
    <n v="7160"/>
  </r>
  <r>
    <s v="ORD-1147"/>
    <x v="146"/>
    <x v="0"/>
    <x v="1"/>
    <x v="1"/>
    <x v="5"/>
    <n v="6"/>
    <n v="9908"/>
    <n v="11450"/>
    <n v="59448"/>
    <n v="68700"/>
    <n v="9252"/>
  </r>
  <r>
    <s v="ORD-1148"/>
    <x v="147"/>
    <x v="2"/>
    <x v="5"/>
    <x v="0"/>
    <x v="0"/>
    <n v="5"/>
    <n v="16475"/>
    <n v="24802"/>
    <n v="82375"/>
    <n v="124010"/>
    <n v="41635"/>
  </r>
  <r>
    <s v="ORD-1149"/>
    <x v="148"/>
    <x v="0"/>
    <x v="2"/>
    <x v="1"/>
    <x v="5"/>
    <n v="9"/>
    <n v="6368"/>
    <n v="13954"/>
    <n v="57312"/>
    <n v="125586"/>
    <n v="68274"/>
  </r>
  <r>
    <s v="ORD-1150"/>
    <x v="149"/>
    <x v="3"/>
    <x v="1"/>
    <x v="1"/>
    <x v="2"/>
    <n v="5"/>
    <n v="26203"/>
    <n v="32651"/>
    <n v="131015"/>
    <n v="163255"/>
    <n v="32240"/>
  </r>
  <r>
    <s v="ORD-1151"/>
    <x v="150"/>
    <x v="0"/>
    <x v="2"/>
    <x v="1"/>
    <x v="1"/>
    <n v="10"/>
    <n v="15749"/>
    <n v="24248"/>
    <n v="157490"/>
    <n v="242480"/>
    <n v="84990"/>
  </r>
  <r>
    <s v="ORD-1152"/>
    <x v="151"/>
    <x v="3"/>
    <x v="5"/>
    <x v="1"/>
    <x v="2"/>
    <n v="6"/>
    <n v="28614"/>
    <n v="34277"/>
    <n v="171684"/>
    <n v="205662"/>
    <n v="33978"/>
  </r>
  <r>
    <s v="ORD-1153"/>
    <x v="152"/>
    <x v="2"/>
    <x v="3"/>
    <x v="1"/>
    <x v="5"/>
    <n v="1"/>
    <n v="26860"/>
    <n v="34641"/>
    <n v="26860"/>
    <n v="34641"/>
    <n v="7781"/>
  </r>
  <r>
    <s v="ORD-1154"/>
    <x v="153"/>
    <x v="3"/>
    <x v="4"/>
    <x v="0"/>
    <x v="4"/>
    <n v="8"/>
    <n v="32624"/>
    <n v="40754"/>
    <n v="260992"/>
    <n v="326032"/>
    <n v="65040"/>
  </r>
  <r>
    <s v="ORD-1155"/>
    <x v="154"/>
    <x v="0"/>
    <x v="3"/>
    <x v="1"/>
    <x v="1"/>
    <n v="6"/>
    <n v="10307"/>
    <n v="14915"/>
    <n v="61842"/>
    <n v="89490"/>
    <n v="27648"/>
  </r>
  <r>
    <s v="ORD-1156"/>
    <x v="155"/>
    <x v="2"/>
    <x v="3"/>
    <x v="0"/>
    <x v="0"/>
    <n v="1"/>
    <n v="9932"/>
    <n v="16330"/>
    <n v="9932"/>
    <n v="16330"/>
    <n v="6398"/>
  </r>
  <r>
    <s v="ORD-1157"/>
    <x v="156"/>
    <x v="1"/>
    <x v="5"/>
    <x v="0"/>
    <x v="0"/>
    <n v="9"/>
    <n v="5092"/>
    <n v="14487"/>
    <n v="45828"/>
    <n v="130383"/>
    <n v="84555"/>
  </r>
  <r>
    <s v="ORD-1158"/>
    <x v="157"/>
    <x v="3"/>
    <x v="3"/>
    <x v="0"/>
    <x v="3"/>
    <n v="6"/>
    <n v="39336"/>
    <n v="41136"/>
    <n v="236016"/>
    <n v="246816"/>
    <n v="10800"/>
  </r>
  <r>
    <s v="ORD-1159"/>
    <x v="158"/>
    <x v="2"/>
    <x v="2"/>
    <x v="1"/>
    <x v="5"/>
    <n v="2"/>
    <n v="21418"/>
    <n v="29524"/>
    <n v="42836"/>
    <n v="59048"/>
    <n v="16212"/>
  </r>
  <r>
    <s v="ORD-1160"/>
    <x v="159"/>
    <x v="1"/>
    <x v="1"/>
    <x v="0"/>
    <x v="0"/>
    <n v="3"/>
    <n v="15055"/>
    <n v="21282"/>
    <n v="45165"/>
    <n v="63846"/>
    <n v="18681"/>
  </r>
  <r>
    <s v="ORD-1161"/>
    <x v="160"/>
    <x v="3"/>
    <x v="1"/>
    <x v="0"/>
    <x v="4"/>
    <n v="4"/>
    <n v="31222"/>
    <n v="35326"/>
    <n v="124888"/>
    <n v="141304"/>
    <n v="16416"/>
  </r>
  <r>
    <s v="ORD-1162"/>
    <x v="161"/>
    <x v="0"/>
    <x v="0"/>
    <x v="1"/>
    <x v="5"/>
    <n v="9"/>
    <n v="36428"/>
    <n v="44213"/>
    <n v="327852"/>
    <n v="397917"/>
    <n v="70065"/>
  </r>
  <r>
    <s v="ORD-1163"/>
    <x v="162"/>
    <x v="2"/>
    <x v="0"/>
    <x v="0"/>
    <x v="0"/>
    <n v="7"/>
    <n v="28791"/>
    <n v="36340"/>
    <n v="201537"/>
    <n v="254380"/>
    <n v="52843"/>
  </r>
  <r>
    <s v="ORD-1164"/>
    <x v="163"/>
    <x v="2"/>
    <x v="5"/>
    <x v="0"/>
    <x v="3"/>
    <n v="1"/>
    <n v="23560"/>
    <n v="24203"/>
    <n v="23560"/>
    <n v="24203"/>
    <n v="643"/>
  </r>
  <r>
    <s v="ORD-1165"/>
    <x v="164"/>
    <x v="3"/>
    <x v="4"/>
    <x v="0"/>
    <x v="4"/>
    <n v="1"/>
    <n v="25737"/>
    <n v="31346"/>
    <n v="25737"/>
    <n v="31346"/>
    <n v="5609"/>
  </r>
  <r>
    <s v="ORD-1166"/>
    <x v="165"/>
    <x v="2"/>
    <x v="1"/>
    <x v="1"/>
    <x v="1"/>
    <n v="1"/>
    <n v="13415"/>
    <n v="19241"/>
    <n v="13415"/>
    <n v="19241"/>
    <n v="5826"/>
  </r>
  <r>
    <s v="ORD-1167"/>
    <x v="166"/>
    <x v="1"/>
    <x v="1"/>
    <x v="0"/>
    <x v="0"/>
    <n v="2"/>
    <n v="17704"/>
    <n v="25263"/>
    <n v="35408"/>
    <n v="50526"/>
    <n v="15118"/>
  </r>
  <r>
    <s v="ORD-1168"/>
    <x v="167"/>
    <x v="3"/>
    <x v="5"/>
    <x v="1"/>
    <x v="5"/>
    <n v="1"/>
    <n v="17561"/>
    <n v="24203"/>
    <n v="17561"/>
    <n v="24203"/>
    <n v="6642"/>
  </r>
  <r>
    <s v="ORD-1169"/>
    <x v="168"/>
    <x v="0"/>
    <x v="5"/>
    <x v="1"/>
    <x v="2"/>
    <n v="10"/>
    <n v="26390"/>
    <n v="35766"/>
    <n v="263900"/>
    <n v="357660"/>
    <n v="93760"/>
  </r>
  <r>
    <s v="ORD-1170"/>
    <x v="169"/>
    <x v="1"/>
    <x v="2"/>
    <x v="1"/>
    <x v="1"/>
    <n v="1"/>
    <n v="14303"/>
    <n v="21925"/>
    <n v="14303"/>
    <n v="21925"/>
    <n v="7622"/>
  </r>
  <r>
    <s v="ORD-1171"/>
    <x v="170"/>
    <x v="1"/>
    <x v="5"/>
    <x v="1"/>
    <x v="2"/>
    <n v="1"/>
    <n v="20070"/>
    <n v="21257"/>
    <n v="20070"/>
    <n v="21257"/>
    <n v="1187"/>
  </r>
  <r>
    <s v="ORD-1172"/>
    <x v="171"/>
    <x v="0"/>
    <x v="3"/>
    <x v="0"/>
    <x v="3"/>
    <n v="3"/>
    <n v="14529"/>
    <n v="16875"/>
    <n v="43587"/>
    <n v="50625"/>
    <n v="7038"/>
  </r>
  <r>
    <s v="ORD-1173"/>
    <x v="172"/>
    <x v="1"/>
    <x v="1"/>
    <x v="1"/>
    <x v="2"/>
    <n v="5"/>
    <n v="36282"/>
    <n v="41513"/>
    <n v="181410"/>
    <n v="207565"/>
    <n v="26155"/>
  </r>
  <r>
    <s v="ORD-1174"/>
    <x v="173"/>
    <x v="2"/>
    <x v="4"/>
    <x v="1"/>
    <x v="5"/>
    <n v="8"/>
    <n v="11839"/>
    <n v="13378"/>
    <n v="94712"/>
    <n v="107024"/>
    <n v="12312"/>
  </r>
  <r>
    <s v="ORD-1175"/>
    <x v="174"/>
    <x v="1"/>
    <x v="5"/>
    <x v="1"/>
    <x v="2"/>
    <n v="4"/>
    <n v="19257"/>
    <n v="20270"/>
    <n v="77028"/>
    <n v="81080"/>
    <n v="4052"/>
  </r>
  <r>
    <s v="ORD-1176"/>
    <x v="175"/>
    <x v="2"/>
    <x v="5"/>
    <x v="0"/>
    <x v="0"/>
    <n v="1"/>
    <n v="11655"/>
    <n v="17277"/>
    <n v="11655"/>
    <n v="17277"/>
    <n v="5622"/>
  </r>
  <r>
    <s v="ORD-1177"/>
    <x v="176"/>
    <x v="0"/>
    <x v="4"/>
    <x v="1"/>
    <x v="2"/>
    <n v="6"/>
    <n v="37692"/>
    <n v="44462"/>
    <n v="226152"/>
    <n v="266772"/>
    <n v="40620"/>
  </r>
  <r>
    <s v="ORD-1178"/>
    <x v="177"/>
    <x v="0"/>
    <x v="3"/>
    <x v="0"/>
    <x v="4"/>
    <n v="3"/>
    <n v="29548"/>
    <n v="31567"/>
    <n v="88644"/>
    <n v="94701"/>
    <n v="6057"/>
  </r>
  <r>
    <s v="ORD-1179"/>
    <x v="178"/>
    <x v="1"/>
    <x v="3"/>
    <x v="1"/>
    <x v="5"/>
    <n v="3"/>
    <n v="25810"/>
    <n v="35054"/>
    <n v="77430"/>
    <n v="105162"/>
    <n v="27732"/>
  </r>
  <r>
    <s v="ORD-1180"/>
    <x v="179"/>
    <x v="1"/>
    <x v="3"/>
    <x v="1"/>
    <x v="1"/>
    <n v="4"/>
    <n v="14123"/>
    <n v="19999"/>
    <n v="56492"/>
    <n v="79996"/>
    <n v="23504"/>
  </r>
  <r>
    <s v="ORD-1181"/>
    <x v="180"/>
    <x v="3"/>
    <x v="1"/>
    <x v="0"/>
    <x v="4"/>
    <n v="2"/>
    <n v="22037"/>
    <n v="26778"/>
    <n v="44074"/>
    <n v="53556"/>
    <n v="9482"/>
  </r>
  <r>
    <s v="ORD-1182"/>
    <x v="181"/>
    <x v="0"/>
    <x v="3"/>
    <x v="1"/>
    <x v="1"/>
    <n v="4"/>
    <n v="913"/>
    <n v="5545"/>
    <n v="3652"/>
    <n v="22180"/>
    <n v="18528"/>
  </r>
  <r>
    <s v="ORD-1183"/>
    <x v="182"/>
    <x v="1"/>
    <x v="0"/>
    <x v="1"/>
    <x v="5"/>
    <n v="4"/>
    <n v="38180"/>
    <n v="43378"/>
    <n v="152720"/>
    <n v="173512"/>
    <n v="20792"/>
  </r>
  <r>
    <s v="ORD-1184"/>
    <x v="183"/>
    <x v="2"/>
    <x v="1"/>
    <x v="1"/>
    <x v="2"/>
    <n v="3"/>
    <n v="18174"/>
    <n v="21380"/>
    <n v="54522"/>
    <n v="64140"/>
    <n v="9618"/>
  </r>
  <r>
    <s v="ORD-1185"/>
    <x v="184"/>
    <x v="0"/>
    <x v="5"/>
    <x v="1"/>
    <x v="1"/>
    <n v="8"/>
    <n v="29986"/>
    <n v="33360"/>
    <n v="239888"/>
    <n v="266880"/>
    <n v="26992"/>
  </r>
  <r>
    <s v="ORD-1186"/>
    <x v="185"/>
    <x v="3"/>
    <x v="3"/>
    <x v="0"/>
    <x v="4"/>
    <n v="3"/>
    <n v="10387"/>
    <n v="13664"/>
    <n v="31161"/>
    <n v="40992"/>
    <n v="9831"/>
  </r>
  <r>
    <s v="ORD-1187"/>
    <x v="186"/>
    <x v="3"/>
    <x v="3"/>
    <x v="1"/>
    <x v="2"/>
    <n v="5"/>
    <n v="20203"/>
    <n v="27971"/>
    <n v="101015"/>
    <n v="139855"/>
    <n v="38840"/>
  </r>
  <r>
    <s v="ORD-1188"/>
    <x v="187"/>
    <x v="3"/>
    <x v="5"/>
    <x v="1"/>
    <x v="2"/>
    <n v="8"/>
    <n v="7947"/>
    <n v="12937"/>
    <n v="63576"/>
    <n v="103496"/>
    <n v="39920"/>
  </r>
  <r>
    <s v="ORD-1189"/>
    <x v="188"/>
    <x v="2"/>
    <x v="5"/>
    <x v="1"/>
    <x v="1"/>
    <n v="9"/>
    <n v="2060"/>
    <n v="5382"/>
    <n v="18540"/>
    <n v="48438"/>
    <n v="29898"/>
  </r>
  <r>
    <s v="ORD-1190"/>
    <x v="189"/>
    <x v="2"/>
    <x v="2"/>
    <x v="1"/>
    <x v="2"/>
    <n v="8"/>
    <n v="6390"/>
    <n v="14530"/>
    <n v="51120"/>
    <n v="116240"/>
    <n v="65120"/>
  </r>
  <r>
    <s v="ORD-1191"/>
    <x v="190"/>
    <x v="3"/>
    <x v="0"/>
    <x v="0"/>
    <x v="3"/>
    <n v="9"/>
    <n v="38898"/>
    <n v="41255"/>
    <n v="350082"/>
    <n v="371295"/>
    <n v="21213"/>
  </r>
  <r>
    <s v="ORD-1192"/>
    <x v="191"/>
    <x v="3"/>
    <x v="5"/>
    <x v="1"/>
    <x v="2"/>
    <n v="8"/>
    <n v="25723"/>
    <n v="34669"/>
    <n v="205784"/>
    <n v="277352"/>
    <n v="71568"/>
  </r>
  <r>
    <s v="ORD-1193"/>
    <x v="192"/>
    <x v="3"/>
    <x v="1"/>
    <x v="0"/>
    <x v="3"/>
    <n v="1"/>
    <n v="6998"/>
    <n v="9331"/>
    <n v="6998"/>
    <n v="9331"/>
    <n v="2333"/>
  </r>
  <r>
    <s v="ORD-1194"/>
    <x v="193"/>
    <x v="0"/>
    <x v="3"/>
    <x v="0"/>
    <x v="0"/>
    <n v="3"/>
    <n v="5076"/>
    <n v="14959"/>
    <n v="15228"/>
    <n v="44877"/>
    <n v="29649"/>
  </r>
  <r>
    <s v="ORD-1195"/>
    <x v="194"/>
    <x v="3"/>
    <x v="5"/>
    <x v="0"/>
    <x v="4"/>
    <n v="8"/>
    <n v="2537"/>
    <n v="2939"/>
    <n v="20296"/>
    <n v="23512"/>
    <n v="3216"/>
  </r>
  <r>
    <s v="ORD-1196"/>
    <x v="195"/>
    <x v="2"/>
    <x v="4"/>
    <x v="1"/>
    <x v="1"/>
    <n v="6"/>
    <n v="31028"/>
    <n v="34895"/>
    <n v="186168"/>
    <n v="209370"/>
    <n v="23202"/>
  </r>
  <r>
    <s v="ORD-1197"/>
    <x v="196"/>
    <x v="3"/>
    <x v="0"/>
    <x v="1"/>
    <x v="1"/>
    <n v="4"/>
    <n v="2728"/>
    <n v="12579"/>
    <n v="10912"/>
    <n v="50316"/>
    <n v="39404"/>
  </r>
  <r>
    <s v="ORD-1198"/>
    <x v="197"/>
    <x v="3"/>
    <x v="2"/>
    <x v="1"/>
    <x v="2"/>
    <n v="9"/>
    <n v="30549"/>
    <n v="33539"/>
    <n v="274941"/>
    <n v="301851"/>
    <n v="26910"/>
  </r>
  <r>
    <s v="ORD-1199"/>
    <x v="198"/>
    <x v="3"/>
    <x v="5"/>
    <x v="0"/>
    <x v="3"/>
    <n v="2"/>
    <n v="34009"/>
    <n v="39010"/>
    <n v="68018"/>
    <n v="78020"/>
    <n v="10002"/>
  </r>
  <r>
    <s v="ORD-1200"/>
    <x v="199"/>
    <x v="1"/>
    <x v="2"/>
    <x v="1"/>
    <x v="5"/>
    <n v="3"/>
    <n v="30558"/>
    <n v="32438"/>
    <n v="91674"/>
    <n v="97314"/>
    <n v="5640"/>
  </r>
  <r>
    <s v="ORD-1201"/>
    <x v="200"/>
    <x v="0"/>
    <x v="4"/>
    <x v="0"/>
    <x v="0"/>
    <n v="3"/>
    <n v="35038"/>
    <n v="35770"/>
    <n v="105114"/>
    <n v="107310"/>
    <n v="2196"/>
  </r>
  <r>
    <s v="ORD-1202"/>
    <x v="201"/>
    <x v="2"/>
    <x v="3"/>
    <x v="0"/>
    <x v="0"/>
    <n v="3"/>
    <n v="24443"/>
    <n v="29661"/>
    <n v="73329"/>
    <n v="88983"/>
    <n v="15654"/>
  </r>
  <r>
    <s v="ORD-1203"/>
    <x v="202"/>
    <x v="2"/>
    <x v="2"/>
    <x v="0"/>
    <x v="3"/>
    <n v="6"/>
    <n v="12654"/>
    <n v="17365"/>
    <n v="75924"/>
    <n v="104190"/>
    <n v="28266"/>
  </r>
  <r>
    <s v="ORD-1204"/>
    <x v="203"/>
    <x v="1"/>
    <x v="3"/>
    <x v="1"/>
    <x v="5"/>
    <n v="7"/>
    <n v="30937"/>
    <n v="36858"/>
    <n v="216559"/>
    <n v="258006"/>
    <n v="41447"/>
  </r>
  <r>
    <s v="ORD-1205"/>
    <x v="204"/>
    <x v="3"/>
    <x v="1"/>
    <x v="1"/>
    <x v="1"/>
    <n v="6"/>
    <n v="39139"/>
    <n v="43375"/>
    <n v="234834"/>
    <n v="260250"/>
    <n v="25416"/>
  </r>
  <r>
    <s v="ORD-1206"/>
    <x v="205"/>
    <x v="1"/>
    <x v="2"/>
    <x v="0"/>
    <x v="4"/>
    <n v="6"/>
    <n v="29642"/>
    <n v="33246"/>
    <n v="177852"/>
    <n v="199476"/>
    <n v="21624"/>
  </r>
  <r>
    <s v="ORD-1207"/>
    <x v="206"/>
    <x v="3"/>
    <x v="3"/>
    <x v="0"/>
    <x v="0"/>
    <n v="6"/>
    <n v="20154"/>
    <n v="25640"/>
    <n v="120924"/>
    <n v="153840"/>
    <n v="32916"/>
  </r>
  <r>
    <s v="ORD-1208"/>
    <x v="207"/>
    <x v="3"/>
    <x v="1"/>
    <x v="0"/>
    <x v="0"/>
    <n v="3"/>
    <n v="18997"/>
    <n v="25919"/>
    <n v="56991"/>
    <n v="77757"/>
    <n v="20766"/>
  </r>
  <r>
    <s v="ORD-1209"/>
    <x v="208"/>
    <x v="1"/>
    <x v="2"/>
    <x v="0"/>
    <x v="4"/>
    <n v="5"/>
    <n v="4736"/>
    <n v="5968"/>
    <n v="23680"/>
    <n v="29840"/>
    <n v="6160"/>
  </r>
  <r>
    <s v="ORD-1210"/>
    <x v="209"/>
    <x v="2"/>
    <x v="5"/>
    <x v="1"/>
    <x v="2"/>
    <n v="7"/>
    <n v="4073"/>
    <n v="10914"/>
    <n v="28511"/>
    <n v="76398"/>
    <n v="47887"/>
  </r>
  <r>
    <s v="ORD-1211"/>
    <x v="210"/>
    <x v="1"/>
    <x v="0"/>
    <x v="0"/>
    <x v="4"/>
    <n v="9"/>
    <n v="33144"/>
    <n v="37652"/>
    <n v="298296"/>
    <n v="338868"/>
    <n v="40572"/>
  </r>
  <r>
    <s v="ORD-1212"/>
    <x v="211"/>
    <x v="3"/>
    <x v="5"/>
    <x v="0"/>
    <x v="0"/>
    <n v="9"/>
    <n v="36576"/>
    <n v="44663"/>
    <n v="329184"/>
    <n v="401967"/>
    <n v="72783"/>
  </r>
  <r>
    <s v="ORD-1213"/>
    <x v="212"/>
    <x v="0"/>
    <x v="2"/>
    <x v="1"/>
    <x v="1"/>
    <n v="6"/>
    <n v="19606"/>
    <n v="23656"/>
    <n v="117636"/>
    <n v="141936"/>
    <n v="24300"/>
  </r>
  <r>
    <s v="ORD-1214"/>
    <x v="213"/>
    <x v="1"/>
    <x v="1"/>
    <x v="0"/>
    <x v="4"/>
    <n v="7"/>
    <n v="17351"/>
    <n v="17789"/>
    <n v="121457"/>
    <n v="124523"/>
    <n v="3066"/>
  </r>
  <r>
    <s v="ORD-1215"/>
    <x v="214"/>
    <x v="2"/>
    <x v="5"/>
    <x v="1"/>
    <x v="1"/>
    <n v="8"/>
    <n v="28386"/>
    <n v="36029"/>
    <n v="227088"/>
    <n v="288232"/>
    <n v="61144"/>
  </r>
  <r>
    <s v="ORD-1216"/>
    <x v="215"/>
    <x v="0"/>
    <x v="4"/>
    <x v="1"/>
    <x v="1"/>
    <n v="5"/>
    <n v="30737"/>
    <n v="39639"/>
    <n v="153685"/>
    <n v="198195"/>
    <n v="44510"/>
  </r>
  <r>
    <s v="ORD-1217"/>
    <x v="216"/>
    <x v="3"/>
    <x v="0"/>
    <x v="0"/>
    <x v="4"/>
    <n v="9"/>
    <n v="23908"/>
    <n v="25435"/>
    <n v="215172"/>
    <n v="228915"/>
    <n v="13743"/>
  </r>
  <r>
    <s v="ORD-1218"/>
    <x v="217"/>
    <x v="1"/>
    <x v="1"/>
    <x v="1"/>
    <x v="5"/>
    <n v="6"/>
    <n v="32460"/>
    <n v="42231"/>
    <n v="194760"/>
    <n v="253386"/>
    <n v="58626"/>
  </r>
  <r>
    <s v="ORD-1219"/>
    <x v="218"/>
    <x v="2"/>
    <x v="3"/>
    <x v="0"/>
    <x v="4"/>
    <n v="7"/>
    <n v="22994"/>
    <n v="29977"/>
    <n v="160958"/>
    <n v="209839"/>
    <n v="48881"/>
  </r>
  <r>
    <s v="ORD-1220"/>
    <x v="219"/>
    <x v="1"/>
    <x v="5"/>
    <x v="0"/>
    <x v="3"/>
    <n v="1"/>
    <n v="30549"/>
    <n v="38349"/>
    <n v="30549"/>
    <n v="38349"/>
    <n v="7800"/>
  </r>
  <r>
    <s v="ORD-1221"/>
    <x v="220"/>
    <x v="2"/>
    <x v="0"/>
    <x v="0"/>
    <x v="3"/>
    <n v="6"/>
    <n v="33430"/>
    <n v="37893"/>
    <n v="200580"/>
    <n v="227358"/>
    <n v="26778"/>
  </r>
  <r>
    <s v="ORD-1222"/>
    <x v="221"/>
    <x v="0"/>
    <x v="5"/>
    <x v="1"/>
    <x v="1"/>
    <n v="5"/>
    <n v="35197"/>
    <n v="37896"/>
    <n v="175985"/>
    <n v="189480"/>
    <n v="13495"/>
  </r>
  <r>
    <s v="ORD-1223"/>
    <x v="222"/>
    <x v="3"/>
    <x v="4"/>
    <x v="1"/>
    <x v="1"/>
    <n v="1"/>
    <n v="27078"/>
    <n v="31452"/>
    <n v="27078"/>
    <n v="31452"/>
    <n v="4374"/>
  </r>
  <r>
    <s v="ORD-1224"/>
    <x v="223"/>
    <x v="1"/>
    <x v="1"/>
    <x v="0"/>
    <x v="3"/>
    <n v="5"/>
    <n v="12205"/>
    <n v="17630"/>
    <n v="61025"/>
    <n v="88150"/>
    <n v="27125"/>
  </r>
  <r>
    <s v="ORD-1225"/>
    <x v="224"/>
    <x v="0"/>
    <x v="3"/>
    <x v="1"/>
    <x v="2"/>
    <n v="4"/>
    <n v="3369"/>
    <n v="6143"/>
    <n v="13476"/>
    <n v="24572"/>
    <n v="11096"/>
  </r>
  <r>
    <s v="ORD-1226"/>
    <x v="225"/>
    <x v="1"/>
    <x v="3"/>
    <x v="1"/>
    <x v="5"/>
    <n v="1"/>
    <n v="36937"/>
    <n v="39506"/>
    <n v="36937"/>
    <n v="39506"/>
    <n v="2569"/>
  </r>
  <r>
    <s v="ORD-1227"/>
    <x v="226"/>
    <x v="2"/>
    <x v="1"/>
    <x v="1"/>
    <x v="1"/>
    <n v="8"/>
    <n v="34805"/>
    <n v="41124"/>
    <n v="278440"/>
    <n v="328992"/>
    <n v="50552"/>
  </r>
  <r>
    <s v="ORD-1228"/>
    <x v="227"/>
    <x v="3"/>
    <x v="5"/>
    <x v="0"/>
    <x v="3"/>
    <n v="1"/>
    <n v="30007"/>
    <n v="32685"/>
    <n v="30007"/>
    <n v="32685"/>
    <n v="2678"/>
  </r>
  <r>
    <s v="ORD-1229"/>
    <x v="228"/>
    <x v="1"/>
    <x v="4"/>
    <x v="1"/>
    <x v="5"/>
    <n v="4"/>
    <n v="7074"/>
    <n v="11049"/>
    <n v="28296"/>
    <n v="44196"/>
    <n v="15900"/>
  </r>
  <r>
    <s v="ORD-1230"/>
    <x v="229"/>
    <x v="1"/>
    <x v="0"/>
    <x v="0"/>
    <x v="0"/>
    <n v="8"/>
    <n v="7081"/>
    <n v="12601"/>
    <n v="56648"/>
    <n v="100808"/>
    <n v="44160"/>
  </r>
  <r>
    <s v="ORD-1231"/>
    <x v="230"/>
    <x v="0"/>
    <x v="2"/>
    <x v="1"/>
    <x v="1"/>
    <n v="2"/>
    <n v="11952"/>
    <n v="20595"/>
    <n v="23904"/>
    <n v="41190"/>
    <n v="17286"/>
  </r>
  <r>
    <s v="ORD-1232"/>
    <x v="231"/>
    <x v="1"/>
    <x v="4"/>
    <x v="1"/>
    <x v="5"/>
    <n v="4"/>
    <n v="19410"/>
    <n v="20626"/>
    <n v="77640"/>
    <n v="82504"/>
    <n v="4864"/>
  </r>
  <r>
    <s v="ORD-1233"/>
    <x v="232"/>
    <x v="0"/>
    <x v="3"/>
    <x v="0"/>
    <x v="3"/>
    <n v="3"/>
    <n v="29187"/>
    <n v="32082"/>
    <n v="87561"/>
    <n v="96246"/>
    <n v="8685"/>
  </r>
  <r>
    <s v="ORD-1234"/>
    <x v="233"/>
    <x v="1"/>
    <x v="0"/>
    <x v="0"/>
    <x v="3"/>
    <n v="10"/>
    <n v="19042"/>
    <n v="21257"/>
    <n v="190420"/>
    <n v="212570"/>
    <n v="22150"/>
  </r>
  <r>
    <s v="ORD-1235"/>
    <x v="234"/>
    <x v="3"/>
    <x v="5"/>
    <x v="1"/>
    <x v="1"/>
    <n v="7"/>
    <n v="16048"/>
    <n v="16326"/>
    <n v="112336"/>
    <n v="114282"/>
    <n v="1946"/>
  </r>
  <r>
    <s v="ORD-1236"/>
    <x v="235"/>
    <x v="0"/>
    <x v="2"/>
    <x v="1"/>
    <x v="2"/>
    <n v="6"/>
    <n v="33812"/>
    <n v="43263"/>
    <n v="202872"/>
    <n v="259578"/>
    <n v="56706"/>
  </r>
  <r>
    <s v="ORD-1237"/>
    <x v="236"/>
    <x v="2"/>
    <x v="3"/>
    <x v="0"/>
    <x v="4"/>
    <n v="10"/>
    <n v="11329"/>
    <n v="11827"/>
    <n v="113290"/>
    <n v="118270"/>
    <n v="4980"/>
  </r>
  <r>
    <s v="ORD-1238"/>
    <x v="237"/>
    <x v="1"/>
    <x v="3"/>
    <x v="1"/>
    <x v="5"/>
    <n v="9"/>
    <n v="14704"/>
    <n v="21844"/>
    <n v="132336"/>
    <n v="196596"/>
    <n v="64260"/>
  </r>
  <r>
    <s v="ORD-1239"/>
    <x v="238"/>
    <x v="1"/>
    <x v="2"/>
    <x v="0"/>
    <x v="0"/>
    <n v="3"/>
    <n v="18202"/>
    <n v="22196"/>
    <n v="54606"/>
    <n v="66588"/>
    <n v="11982"/>
  </r>
  <r>
    <s v="ORD-1240"/>
    <x v="239"/>
    <x v="0"/>
    <x v="5"/>
    <x v="1"/>
    <x v="2"/>
    <n v="10"/>
    <n v="7238"/>
    <n v="9876"/>
    <n v="72380"/>
    <n v="98760"/>
    <n v="26380"/>
  </r>
  <r>
    <s v="ORD-1241"/>
    <x v="240"/>
    <x v="1"/>
    <x v="1"/>
    <x v="0"/>
    <x v="4"/>
    <n v="4"/>
    <n v="27876"/>
    <n v="34141"/>
    <n v="111504"/>
    <n v="136564"/>
    <n v="25060"/>
  </r>
  <r>
    <s v="ORD-1242"/>
    <x v="241"/>
    <x v="3"/>
    <x v="3"/>
    <x v="0"/>
    <x v="0"/>
    <n v="3"/>
    <n v="36655"/>
    <n v="37015"/>
    <n v="109965"/>
    <n v="111045"/>
    <n v="1080"/>
  </r>
  <r>
    <s v="ORD-1243"/>
    <x v="242"/>
    <x v="1"/>
    <x v="4"/>
    <x v="0"/>
    <x v="4"/>
    <n v="5"/>
    <n v="21165"/>
    <n v="22995"/>
    <n v="105825"/>
    <n v="114975"/>
    <n v="9150"/>
  </r>
  <r>
    <s v="ORD-1244"/>
    <x v="243"/>
    <x v="3"/>
    <x v="3"/>
    <x v="0"/>
    <x v="3"/>
    <n v="7"/>
    <n v="7948"/>
    <n v="11686"/>
    <n v="55636"/>
    <n v="81802"/>
    <n v="26166"/>
  </r>
  <r>
    <s v="ORD-1245"/>
    <x v="244"/>
    <x v="1"/>
    <x v="5"/>
    <x v="1"/>
    <x v="1"/>
    <n v="5"/>
    <n v="12571"/>
    <n v="20774"/>
    <n v="62855"/>
    <n v="103870"/>
    <n v="41015"/>
  </r>
  <r>
    <s v="ORD-1246"/>
    <x v="245"/>
    <x v="2"/>
    <x v="4"/>
    <x v="0"/>
    <x v="3"/>
    <n v="7"/>
    <n v="11880"/>
    <n v="12597"/>
    <n v="83160"/>
    <n v="88179"/>
    <n v="5019"/>
  </r>
  <r>
    <s v="ORD-1247"/>
    <x v="246"/>
    <x v="3"/>
    <x v="3"/>
    <x v="0"/>
    <x v="4"/>
    <n v="4"/>
    <n v="14808"/>
    <n v="23237"/>
    <n v="59232"/>
    <n v="92948"/>
    <n v="33716"/>
  </r>
  <r>
    <s v="ORD-1248"/>
    <x v="247"/>
    <x v="1"/>
    <x v="1"/>
    <x v="1"/>
    <x v="2"/>
    <n v="9"/>
    <n v="14728"/>
    <n v="19569"/>
    <n v="132552"/>
    <n v="176121"/>
    <n v="43569"/>
  </r>
  <r>
    <s v="ORD-1249"/>
    <x v="248"/>
    <x v="0"/>
    <x v="1"/>
    <x v="0"/>
    <x v="0"/>
    <n v="10"/>
    <n v="21577"/>
    <n v="24858"/>
    <n v="215770"/>
    <n v="248580"/>
    <n v="32810"/>
  </r>
  <r>
    <s v="ORD-1250"/>
    <x v="249"/>
    <x v="0"/>
    <x v="0"/>
    <x v="1"/>
    <x v="1"/>
    <n v="1"/>
    <n v="20680"/>
    <n v="24395"/>
    <n v="20680"/>
    <n v="24395"/>
    <n v="3715"/>
  </r>
  <r>
    <s v="ORD-1251"/>
    <x v="250"/>
    <x v="0"/>
    <x v="0"/>
    <x v="0"/>
    <x v="3"/>
    <n v="4"/>
    <n v="2704"/>
    <n v="3473"/>
    <n v="10816"/>
    <n v="13892"/>
    <n v="3076"/>
  </r>
  <r>
    <s v="ORD-1252"/>
    <x v="251"/>
    <x v="0"/>
    <x v="0"/>
    <x v="0"/>
    <x v="0"/>
    <n v="4"/>
    <n v="6904"/>
    <n v="9856"/>
    <n v="27616"/>
    <n v="39424"/>
    <n v="11808"/>
  </r>
  <r>
    <s v="ORD-1253"/>
    <x v="252"/>
    <x v="1"/>
    <x v="1"/>
    <x v="0"/>
    <x v="0"/>
    <n v="6"/>
    <n v="30008"/>
    <n v="35165"/>
    <n v="180048"/>
    <n v="210990"/>
    <n v="30942"/>
  </r>
  <r>
    <s v="ORD-1254"/>
    <x v="253"/>
    <x v="1"/>
    <x v="1"/>
    <x v="1"/>
    <x v="1"/>
    <n v="1"/>
    <n v="17893"/>
    <n v="20233"/>
    <n v="17893"/>
    <n v="20233"/>
    <n v="2340"/>
  </r>
  <r>
    <s v="ORD-1255"/>
    <x v="254"/>
    <x v="0"/>
    <x v="2"/>
    <x v="1"/>
    <x v="2"/>
    <n v="1"/>
    <n v="39831"/>
    <n v="40281"/>
    <n v="39831"/>
    <n v="40281"/>
    <n v="450"/>
  </r>
  <r>
    <s v="ORD-1256"/>
    <x v="255"/>
    <x v="2"/>
    <x v="0"/>
    <x v="0"/>
    <x v="3"/>
    <n v="9"/>
    <n v="12809"/>
    <n v="14722"/>
    <n v="115281"/>
    <n v="132498"/>
    <n v="17217"/>
  </r>
  <r>
    <s v="ORD-1257"/>
    <x v="256"/>
    <x v="1"/>
    <x v="0"/>
    <x v="0"/>
    <x v="4"/>
    <n v="3"/>
    <n v="27763"/>
    <n v="31969"/>
    <n v="83289"/>
    <n v="95907"/>
    <n v="12618"/>
  </r>
  <r>
    <s v="ORD-1258"/>
    <x v="257"/>
    <x v="2"/>
    <x v="3"/>
    <x v="0"/>
    <x v="0"/>
    <n v="7"/>
    <n v="28576"/>
    <n v="33522"/>
    <n v="200032"/>
    <n v="234654"/>
    <n v="34622"/>
  </r>
  <r>
    <s v="ORD-1259"/>
    <x v="258"/>
    <x v="3"/>
    <x v="1"/>
    <x v="0"/>
    <x v="4"/>
    <n v="2"/>
    <n v="1097"/>
    <n v="1409"/>
    <n v="2194"/>
    <n v="2818"/>
    <n v="624"/>
  </r>
  <r>
    <s v="ORD-1260"/>
    <x v="259"/>
    <x v="0"/>
    <x v="0"/>
    <x v="0"/>
    <x v="3"/>
    <n v="2"/>
    <n v="2084"/>
    <n v="6054"/>
    <n v="4168"/>
    <n v="12108"/>
    <n v="7940"/>
  </r>
  <r>
    <s v="ORD-1261"/>
    <x v="260"/>
    <x v="3"/>
    <x v="1"/>
    <x v="1"/>
    <x v="1"/>
    <n v="7"/>
    <n v="28168"/>
    <n v="35566"/>
    <n v="197176"/>
    <n v="248962"/>
    <n v="51786"/>
  </r>
  <r>
    <s v="ORD-1262"/>
    <x v="261"/>
    <x v="0"/>
    <x v="1"/>
    <x v="0"/>
    <x v="3"/>
    <n v="6"/>
    <n v="26880"/>
    <n v="27786"/>
    <n v="161280"/>
    <n v="166716"/>
    <n v="5436"/>
  </r>
  <r>
    <s v="ORD-1263"/>
    <x v="262"/>
    <x v="3"/>
    <x v="3"/>
    <x v="1"/>
    <x v="2"/>
    <n v="6"/>
    <n v="19539"/>
    <n v="25185"/>
    <n v="117234"/>
    <n v="151110"/>
    <n v="33876"/>
  </r>
  <r>
    <s v="ORD-1264"/>
    <x v="263"/>
    <x v="1"/>
    <x v="1"/>
    <x v="1"/>
    <x v="2"/>
    <n v="7"/>
    <n v="14245"/>
    <n v="23063"/>
    <n v="99715"/>
    <n v="161441"/>
    <n v="61726"/>
  </r>
  <r>
    <s v="ORD-1265"/>
    <x v="264"/>
    <x v="0"/>
    <x v="2"/>
    <x v="0"/>
    <x v="4"/>
    <n v="8"/>
    <n v="23772"/>
    <n v="30025"/>
    <n v="190176"/>
    <n v="240200"/>
    <n v="50024"/>
  </r>
  <r>
    <s v="ORD-1266"/>
    <x v="265"/>
    <x v="0"/>
    <x v="4"/>
    <x v="0"/>
    <x v="0"/>
    <n v="8"/>
    <n v="31735"/>
    <n v="38965"/>
    <n v="253880"/>
    <n v="311720"/>
    <n v="57840"/>
  </r>
  <r>
    <s v="ORD-1267"/>
    <x v="266"/>
    <x v="0"/>
    <x v="3"/>
    <x v="1"/>
    <x v="1"/>
    <n v="8"/>
    <n v="18190"/>
    <n v="27524"/>
    <n v="145520"/>
    <n v="220192"/>
    <n v="74672"/>
  </r>
  <r>
    <s v="ORD-1268"/>
    <x v="267"/>
    <x v="2"/>
    <x v="3"/>
    <x v="1"/>
    <x v="5"/>
    <n v="8"/>
    <n v="23890"/>
    <n v="25127"/>
    <n v="191120"/>
    <n v="201016"/>
    <n v="9896"/>
  </r>
  <r>
    <s v="ORD-1269"/>
    <x v="268"/>
    <x v="1"/>
    <x v="2"/>
    <x v="0"/>
    <x v="0"/>
    <n v="2"/>
    <n v="21937"/>
    <n v="27167"/>
    <n v="43874"/>
    <n v="54334"/>
    <n v="10460"/>
  </r>
  <r>
    <s v="ORD-1270"/>
    <x v="269"/>
    <x v="2"/>
    <x v="4"/>
    <x v="1"/>
    <x v="2"/>
    <n v="6"/>
    <n v="10480"/>
    <n v="14377"/>
    <n v="62880"/>
    <n v="86262"/>
    <n v="23382"/>
  </r>
  <r>
    <s v="ORD-1271"/>
    <x v="270"/>
    <x v="0"/>
    <x v="0"/>
    <x v="1"/>
    <x v="5"/>
    <n v="5"/>
    <n v="33063"/>
    <n v="34834"/>
    <n v="165315"/>
    <n v="174170"/>
    <n v="8855"/>
  </r>
  <r>
    <s v="ORD-1272"/>
    <x v="271"/>
    <x v="2"/>
    <x v="5"/>
    <x v="1"/>
    <x v="2"/>
    <n v="8"/>
    <n v="24874"/>
    <n v="34652"/>
    <n v="198992"/>
    <n v="277216"/>
    <n v="78224"/>
  </r>
  <r>
    <s v="ORD-1273"/>
    <x v="272"/>
    <x v="1"/>
    <x v="4"/>
    <x v="1"/>
    <x v="1"/>
    <n v="5"/>
    <n v="38985"/>
    <n v="46351"/>
    <n v="194925"/>
    <n v="231755"/>
    <n v="36830"/>
  </r>
  <r>
    <s v="ORD-1274"/>
    <x v="273"/>
    <x v="0"/>
    <x v="2"/>
    <x v="1"/>
    <x v="1"/>
    <n v="3"/>
    <n v="11093"/>
    <n v="19996"/>
    <n v="33279"/>
    <n v="59988"/>
    <n v="26709"/>
  </r>
  <r>
    <s v="ORD-1275"/>
    <x v="274"/>
    <x v="0"/>
    <x v="2"/>
    <x v="1"/>
    <x v="1"/>
    <n v="4"/>
    <n v="10479"/>
    <n v="14923"/>
    <n v="41916"/>
    <n v="59692"/>
    <n v="17776"/>
  </r>
  <r>
    <s v="ORD-1276"/>
    <x v="275"/>
    <x v="0"/>
    <x v="5"/>
    <x v="0"/>
    <x v="4"/>
    <n v="5"/>
    <n v="28226"/>
    <n v="32321"/>
    <n v="141130"/>
    <n v="161605"/>
    <n v="20475"/>
  </r>
  <r>
    <s v="ORD-1277"/>
    <x v="276"/>
    <x v="3"/>
    <x v="0"/>
    <x v="1"/>
    <x v="2"/>
    <n v="1"/>
    <n v="24323"/>
    <n v="25653"/>
    <n v="24323"/>
    <n v="25653"/>
    <n v="1330"/>
  </r>
  <r>
    <s v="ORD-1278"/>
    <x v="277"/>
    <x v="3"/>
    <x v="0"/>
    <x v="0"/>
    <x v="3"/>
    <n v="8"/>
    <n v="21117"/>
    <n v="23532"/>
    <n v="168936"/>
    <n v="188256"/>
    <n v="19320"/>
  </r>
  <r>
    <s v="ORD-1279"/>
    <x v="278"/>
    <x v="3"/>
    <x v="2"/>
    <x v="1"/>
    <x v="1"/>
    <n v="7"/>
    <n v="30286"/>
    <n v="39023"/>
    <n v="212002"/>
    <n v="273161"/>
    <n v="61159"/>
  </r>
  <r>
    <s v="ORD-1280"/>
    <x v="279"/>
    <x v="1"/>
    <x v="4"/>
    <x v="1"/>
    <x v="1"/>
    <n v="7"/>
    <n v="4617"/>
    <n v="5987"/>
    <n v="32319"/>
    <n v="41909"/>
    <n v="9590"/>
  </r>
  <r>
    <s v="ORD-1281"/>
    <x v="280"/>
    <x v="3"/>
    <x v="3"/>
    <x v="1"/>
    <x v="2"/>
    <n v="9"/>
    <n v="35378"/>
    <n v="44624"/>
    <n v="318402"/>
    <n v="401616"/>
    <n v="83214"/>
  </r>
  <r>
    <s v="ORD-1282"/>
    <x v="281"/>
    <x v="0"/>
    <x v="1"/>
    <x v="0"/>
    <x v="3"/>
    <n v="8"/>
    <n v="15904"/>
    <n v="23786"/>
    <n v="127232"/>
    <n v="190288"/>
    <n v="63056"/>
  </r>
  <r>
    <s v="ORD-1283"/>
    <x v="282"/>
    <x v="2"/>
    <x v="5"/>
    <x v="1"/>
    <x v="1"/>
    <n v="6"/>
    <n v="36821"/>
    <n v="39737"/>
    <n v="220926"/>
    <n v="238422"/>
    <n v="17496"/>
  </r>
  <r>
    <s v="ORD-1284"/>
    <x v="283"/>
    <x v="0"/>
    <x v="4"/>
    <x v="0"/>
    <x v="0"/>
    <n v="3"/>
    <n v="15097"/>
    <n v="20532"/>
    <n v="45291"/>
    <n v="61596"/>
    <n v="16305"/>
  </r>
  <r>
    <s v="ORD-1285"/>
    <x v="284"/>
    <x v="3"/>
    <x v="2"/>
    <x v="0"/>
    <x v="0"/>
    <n v="2"/>
    <n v="28470"/>
    <n v="37949"/>
    <n v="56940"/>
    <n v="75898"/>
    <n v="18958"/>
  </r>
  <r>
    <s v="ORD-1286"/>
    <x v="285"/>
    <x v="3"/>
    <x v="5"/>
    <x v="1"/>
    <x v="5"/>
    <n v="8"/>
    <n v="21802"/>
    <n v="30637"/>
    <n v="174416"/>
    <n v="245096"/>
    <n v="70680"/>
  </r>
  <r>
    <s v="ORD-1287"/>
    <x v="286"/>
    <x v="1"/>
    <x v="0"/>
    <x v="1"/>
    <x v="5"/>
    <n v="7"/>
    <n v="35142"/>
    <n v="36525"/>
    <n v="245994"/>
    <n v="255675"/>
    <n v="9681"/>
  </r>
  <r>
    <s v="ORD-1288"/>
    <x v="287"/>
    <x v="1"/>
    <x v="0"/>
    <x v="1"/>
    <x v="1"/>
    <n v="10"/>
    <n v="25458"/>
    <n v="26741"/>
    <n v="254580"/>
    <n v="267410"/>
    <n v="12830"/>
  </r>
  <r>
    <s v="ORD-1289"/>
    <x v="288"/>
    <x v="3"/>
    <x v="4"/>
    <x v="0"/>
    <x v="0"/>
    <n v="1"/>
    <n v="34051"/>
    <n v="34743"/>
    <n v="34051"/>
    <n v="34743"/>
    <n v="692"/>
  </r>
  <r>
    <s v="ORD-1290"/>
    <x v="289"/>
    <x v="3"/>
    <x v="2"/>
    <x v="0"/>
    <x v="0"/>
    <n v="1"/>
    <n v="11366"/>
    <n v="13407"/>
    <n v="11366"/>
    <n v="13407"/>
    <n v="2041"/>
  </r>
  <r>
    <s v="ORD-1291"/>
    <x v="290"/>
    <x v="1"/>
    <x v="0"/>
    <x v="1"/>
    <x v="2"/>
    <n v="7"/>
    <n v="13921"/>
    <n v="14739"/>
    <n v="97447"/>
    <n v="103173"/>
    <n v="5726"/>
  </r>
  <r>
    <s v="ORD-1292"/>
    <x v="291"/>
    <x v="3"/>
    <x v="3"/>
    <x v="0"/>
    <x v="4"/>
    <n v="10"/>
    <n v="9265"/>
    <n v="16340"/>
    <n v="92650"/>
    <n v="163400"/>
    <n v="70750"/>
  </r>
  <r>
    <s v="ORD-1293"/>
    <x v="292"/>
    <x v="1"/>
    <x v="0"/>
    <x v="1"/>
    <x v="5"/>
    <n v="2"/>
    <n v="26990"/>
    <n v="33262"/>
    <n v="53980"/>
    <n v="66524"/>
    <n v="12544"/>
  </r>
  <r>
    <s v="ORD-1294"/>
    <x v="293"/>
    <x v="3"/>
    <x v="1"/>
    <x v="0"/>
    <x v="3"/>
    <n v="2"/>
    <n v="22904"/>
    <n v="31832"/>
    <n v="45808"/>
    <n v="63664"/>
    <n v="17856"/>
  </r>
  <r>
    <s v="ORD-1295"/>
    <x v="294"/>
    <x v="2"/>
    <x v="3"/>
    <x v="0"/>
    <x v="0"/>
    <n v="2"/>
    <n v="10200"/>
    <n v="19241"/>
    <n v="20400"/>
    <n v="38482"/>
    <n v="18082"/>
  </r>
  <r>
    <s v="ORD-1296"/>
    <x v="295"/>
    <x v="2"/>
    <x v="5"/>
    <x v="0"/>
    <x v="3"/>
    <n v="3"/>
    <n v="18600"/>
    <n v="24967"/>
    <n v="55800"/>
    <n v="74901"/>
    <n v="19101"/>
  </r>
  <r>
    <s v="ORD-1297"/>
    <x v="296"/>
    <x v="2"/>
    <x v="1"/>
    <x v="1"/>
    <x v="5"/>
    <n v="4"/>
    <n v="39975"/>
    <n v="43568"/>
    <n v="159900"/>
    <n v="174272"/>
    <n v="14372"/>
  </r>
  <r>
    <s v="ORD-1298"/>
    <x v="297"/>
    <x v="1"/>
    <x v="5"/>
    <x v="1"/>
    <x v="1"/>
    <n v="3"/>
    <n v="17392"/>
    <n v="22142"/>
    <n v="52176"/>
    <n v="66426"/>
    <n v="14250"/>
  </r>
  <r>
    <s v="ORD-1299"/>
    <x v="298"/>
    <x v="0"/>
    <x v="0"/>
    <x v="1"/>
    <x v="5"/>
    <n v="6"/>
    <n v="14288"/>
    <n v="23843"/>
    <n v="85728"/>
    <n v="143058"/>
    <n v="57330"/>
  </r>
  <r>
    <s v="ORD-1300"/>
    <x v="299"/>
    <x v="1"/>
    <x v="0"/>
    <x v="0"/>
    <x v="0"/>
    <n v="8"/>
    <n v="7081"/>
    <n v="12601"/>
    <n v="56648"/>
    <n v="100808"/>
    <n v="44160"/>
  </r>
  <r>
    <s v="ORD-1301"/>
    <x v="300"/>
    <x v="0"/>
    <x v="2"/>
    <x v="1"/>
    <x v="1"/>
    <n v="2"/>
    <n v="11952"/>
    <n v="20595"/>
    <n v="23904"/>
    <n v="41190"/>
    <n v="17286"/>
  </r>
  <r>
    <s v="ORD-1302"/>
    <x v="301"/>
    <x v="1"/>
    <x v="4"/>
    <x v="1"/>
    <x v="5"/>
    <n v="4"/>
    <n v="19410"/>
    <n v="20626"/>
    <n v="77640"/>
    <n v="82504"/>
    <n v="4864"/>
  </r>
  <r>
    <s v="ORD-1303"/>
    <x v="302"/>
    <x v="0"/>
    <x v="3"/>
    <x v="0"/>
    <x v="3"/>
    <n v="3"/>
    <n v="29187"/>
    <n v="32082"/>
    <n v="87561"/>
    <n v="96246"/>
    <n v="8685"/>
  </r>
  <r>
    <s v="ORD-1304"/>
    <x v="303"/>
    <x v="1"/>
    <x v="0"/>
    <x v="0"/>
    <x v="3"/>
    <n v="10"/>
    <n v="19042"/>
    <n v="21257"/>
    <n v="190420"/>
    <n v="212570"/>
    <n v="22150"/>
  </r>
  <r>
    <s v="ORD-1305"/>
    <x v="304"/>
    <x v="3"/>
    <x v="5"/>
    <x v="1"/>
    <x v="1"/>
    <n v="7"/>
    <n v="16048"/>
    <n v="16326"/>
    <n v="112336"/>
    <n v="114282"/>
    <n v="1946"/>
  </r>
  <r>
    <s v="ORD-1306"/>
    <x v="305"/>
    <x v="0"/>
    <x v="2"/>
    <x v="1"/>
    <x v="2"/>
    <n v="6"/>
    <n v="33812"/>
    <n v="43263"/>
    <n v="202872"/>
    <n v="259578"/>
    <n v="56706"/>
  </r>
  <r>
    <s v="ORD-1307"/>
    <x v="306"/>
    <x v="2"/>
    <x v="3"/>
    <x v="0"/>
    <x v="4"/>
    <n v="10"/>
    <n v="11329"/>
    <n v="11827"/>
    <n v="113290"/>
    <n v="118270"/>
    <n v="4980"/>
  </r>
  <r>
    <s v="ORD-1308"/>
    <x v="307"/>
    <x v="1"/>
    <x v="3"/>
    <x v="1"/>
    <x v="5"/>
    <n v="9"/>
    <n v="14704"/>
    <n v="21844"/>
    <n v="132336"/>
    <n v="196596"/>
    <n v="64260"/>
  </r>
  <r>
    <s v="ORD-1309"/>
    <x v="308"/>
    <x v="1"/>
    <x v="2"/>
    <x v="0"/>
    <x v="0"/>
    <n v="3"/>
    <n v="18202"/>
    <n v="22196"/>
    <n v="54606"/>
    <n v="66588"/>
    <n v="11982"/>
  </r>
  <r>
    <s v="ORD-1310"/>
    <x v="309"/>
    <x v="0"/>
    <x v="5"/>
    <x v="1"/>
    <x v="2"/>
    <n v="10"/>
    <n v="7238"/>
    <n v="9876"/>
    <n v="72380"/>
    <n v="98760"/>
    <n v="26380"/>
  </r>
  <r>
    <s v="ORD-1311"/>
    <x v="310"/>
    <x v="1"/>
    <x v="1"/>
    <x v="0"/>
    <x v="4"/>
    <n v="4"/>
    <n v="27876"/>
    <n v="34141"/>
    <n v="111504"/>
    <n v="136564"/>
    <n v="25060"/>
  </r>
  <r>
    <s v="ORD-1312"/>
    <x v="311"/>
    <x v="3"/>
    <x v="3"/>
    <x v="0"/>
    <x v="0"/>
    <n v="3"/>
    <n v="36655"/>
    <n v="37015"/>
    <n v="109965"/>
    <n v="111045"/>
    <n v="1080"/>
  </r>
  <r>
    <s v="ORD-1313"/>
    <x v="312"/>
    <x v="1"/>
    <x v="4"/>
    <x v="0"/>
    <x v="4"/>
    <n v="5"/>
    <n v="21165"/>
    <n v="22995"/>
    <n v="105825"/>
    <n v="114975"/>
    <n v="9150"/>
  </r>
  <r>
    <s v="ORD-1314"/>
    <x v="313"/>
    <x v="3"/>
    <x v="3"/>
    <x v="0"/>
    <x v="3"/>
    <n v="7"/>
    <n v="7948"/>
    <n v="11686"/>
    <n v="55636"/>
    <n v="81802"/>
    <n v="26166"/>
  </r>
  <r>
    <s v="ORD-1315"/>
    <x v="314"/>
    <x v="1"/>
    <x v="5"/>
    <x v="1"/>
    <x v="1"/>
    <n v="5"/>
    <n v="12571"/>
    <n v="20774"/>
    <n v="62855"/>
    <n v="103870"/>
    <n v="41015"/>
  </r>
  <r>
    <s v="ORD-1316"/>
    <x v="315"/>
    <x v="2"/>
    <x v="4"/>
    <x v="0"/>
    <x v="3"/>
    <n v="7"/>
    <n v="11880"/>
    <n v="12597"/>
    <n v="83160"/>
    <n v="88179"/>
    <n v="5019"/>
  </r>
  <r>
    <s v="ORD-1317"/>
    <x v="316"/>
    <x v="3"/>
    <x v="3"/>
    <x v="0"/>
    <x v="4"/>
    <n v="4"/>
    <n v="14808"/>
    <n v="23237"/>
    <n v="59232"/>
    <n v="92948"/>
    <n v="33716"/>
  </r>
  <r>
    <s v="ORD-1318"/>
    <x v="317"/>
    <x v="1"/>
    <x v="1"/>
    <x v="1"/>
    <x v="2"/>
    <n v="9"/>
    <n v="14728"/>
    <n v="19569"/>
    <n v="132552"/>
    <n v="176121"/>
    <n v="43569"/>
  </r>
  <r>
    <s v="ORD-1319"/>
    <x v="318"/>
    <x v="0"/>
    <x v="1"/>
    <x v="0"/>
    <x v="0"/>
    <n v="10"/>
    <n v="21577"/>
    <n v="24858"/>
    <n v="215770"/>
    <n v="248580"/>
    <n v="32810"/>
  </r>
  <r>
    <s v="ORD-1320"/>
    <x v="319"/>
    <x v="0"/>
    <x v="0"/>
    <x v="1"/>
    <x v="1"/>
    <n v="1"/>
    <n v="20680"/>
    <n v="24395"/>
    <n v="20680"/>
    <n v="24395"/>
    <n v="3715"/>
  </r>
  <r>
    <s v="ORD-1321"/>
    <x v="320"/>
    <x v="0"/>
    <x v="0"/>
    <x v="0"/>
    <x v="3"/>
    <n v="4"/>
    <n v="2704"/>
    <n v="3473"/>
    <n v="10816"/>
    <n v="13892"/>
    <n v="3076"/>
  </r>
  <r>
    <s v="ORD-1322"/>
    <x v="321"/>
    <x v="2"/>
    <x v="1"/>
    <x v="1"/>
    <x v="5"/>
    <n v="4"/>
    <n v="13297"/>
    <n v="21897"/>
    <n v="53188"/>
    <n v="87588"/>
    <n v="34400"/>
  </r>
  <r>
    <s v="ORD-1323"/>
    <x v="322"/>
    <x v="3"/>
    <x v="1"/>
    <x v="1"/>
    <x v="1"/>
    <n v="1"/>
    <n v="5827"/>
    <n v="13208"/>
    <n v="5827"/>
    <n v="13208"/>
    <n v="7381"/>
  </r>
  <r>
    <s v="ORD-1324"/>
    <x v="323"/>
    <x v="0"/>
    <x v="0"/>
    <x v="0"/>
    <x v="3"/>
    <n v="1"/>
    <n v="31429"/>
    <n v="38435"/>
    <n v="31429"/>
    <n v="38435"/>
    <n v="7006"/>
  </r>
  <r>
    <s v="ORD-1325"/>
    <x v="324"/>
    <x v="3"/>
    <x v="0"/>
    <x v="0"/>
    <x v="0"/>
    <n v="5"/>
    <n v="16593"/>
    <n v="21660"/>
    <n v="82965"/>
    <n v="108300"/>
    <n v="25335"/>
  </r>
  <r>
    <s v="ORD-1326"/>
    <x v="325"/>
    <x v="1"/>
    <x v="1"/>
    <x v="1"/>
    <x v="2"/>
    <n v="9"/>
    <n v="33997"/>
    <n v="38959"/>
    <n v="305973"/>
    <n v="350631"/>
    <n v="44658"/>
  </r>
  <r>
    <s v="ORD-1327"/>
    <x v="326"/>
    <x v="3"/>
    <x v="2"/>
    <x v="0"/>
    <x v="3"/>
    <n v="10"/>
    <n v="9833"/>
    <n v="19037"/>
    <n v="98330"/>
    <n v="190370"/>
    <n v="92040"/>
  </r>
  <r>
    <s v="ORD-1328"/>
    <x v="327"/>
    <x v="0"/>
    <x v="1"/>
    <x v="1"/>
    <x v="5"/>
    <n v="8"/>
    <n v="20239"/>
    <n v="28077"/>
    <n v="161912"/>
    <n v="224616"/>
    <n v="62704"/>
  </r>
  <r>
    <s v="ORD-1329"/>
    <x v="328"/>
    <x v="3"/>
    <x v="3"/>
    <x v="1"/>
    <x v="1"/>
    <n v="8"/>
    <n v="3114"/>
    <n v="7046"/>
    <n v="24912"/>
    <n v="56368"/>
    <n v="31456"/>
  </r>
  <r>
    <s v="ORD-1330"/>
    <x v="329"/>
    <x v="0"/>
    <x v="5"/>
    <x v="1"/>
    <x v="2"/>
    <n v="5"/>
    <n v="24468"/>
    <n v="24901"/>
    <n v="122340"/>
    <n v="124505"/>
    <n v="2165"/>
  </r>
  <r>
    <s v="ORD-1331"/>
    <x v="330"/>
    <x v="2"/>
    <x v="5"/>
    <x v="1"/>
    <x v="2"/>
    <n v="3"/>
    <n v="31720"/>
    <n v="39258"/>
    <n v="95160"/>
    <n v="117774"/>
    <n v="22614"/>
  </r>
  <r>
    <s v="ORD-1332"/>
    <x v="331"/>
    <x v="1"/>
    <x v="4"/>
    <x v="1"/>
    <x v="1"/>
    <n v="9"/>
    <n v="22453"/>
    <n v="30784"/>
    <n v="202077"/>
    <n v="277056"/>
    <n v="74979"/>
  </r>
  <r>
    <s v="ORD-1333"/>
    <x v="332"/>
    <x v="3"/>
    <x v="1"/>
    <x v="1"/>
    <x v="5"/>
    <n v="8"/>
    <n v="7053"/>
    <n v="16102"/>
    <n v="56424"/>
    <n v="128816"/>
    <n v="72392"/>
  </r>
  <r>
    <s v="ORD-1334"/>
    <x v="333"/>
    <x v="0"/>
    <x v="1"/>
    <x v="1"/>
    <x v="2"/>
    <n v="1"/>
    <n v="26743"/>
    <n v="32385"/>
    <n v="26743"/>
    <n v="32385"/>
    <n v="5642"/>
  </r>
  <r>
    <s v="ORD-1335"/>
    <x v="334"/>
    <x v="2"/>
    <x v="3"/>
    <x v="0"/>
    <x v="0"/>
    <n v="9"/>
    <n v="31940"/>
    <n v="41177"/>
    <n v="287460"/>
    <n v="370593"/>
    <n v="83133"/>
  </r>
  <r>
    <s v="ORD-1336"/>
    <x v="335"/>
    <x v="2"/>
    <x v="1"/>
    <x v="0"/>
    <x v="4"/>
    <n v="3"/>
    <n v="11414"/>
    <n v="15330"/>
    <n v="34242"/>
    <n v="45990"/>
    <n v="11748"/>
  </r>
  <r>
    <s v="ORD-1337"/>
    <x v="336"/>
    <x v="3"/>
    <x v="5"/>
    <x v="1"/>
    <x v="1"/>
    <n v="6"/>
    <n v="29348"/>
    <n v="31954"/>
    <n v="176088"/>
    <n v="191724"/>
    <n v="15636"/>
  </r>
  <r>
    <s v="ORD-1338"/>
    <x v="337"/>
    <x v="0"/>
    <x v="3"/>
    <x v="0"/>
    <x v="0"/>
    <n v="9"/>
    <n v="35944"/>
    <n v="39579"/>
    <n v="323496"/>
    <n v="356211"/>
    <n v="32715"/>
  </r>
  <r>
    <s v="ORD-1339"/>
    <x v="338"/>
    <x v="3"/>
    <x v="2"/>
    <x v="1"/>
    <x v="2"/>
    <n v="4"/>
    <n v="10728"/>
    <n v="13095"/>
    <n v="42912"/>
    <n v="52380"/>
    <n v="9468"/>
  </r>
  <r>
    <s v="ORD-1340"/>
    <x v="339"/>
    <x v="3"/>
    <x v="5"/>
    <x v="1"/>
    <x v="5"/>
    <n v="7"/>
    <n v="4640"/>
    <n v="6725"/>
    <n v="32480"/>
    <n v="47075"/>
    <n v="14595"/>
  </r>
  <r>
    <s v="ORD-1341"/>
    <x v="340"/>
    <x v="0"/>
    <x v="2"/>
    <x v="0"/>
    <x v="4"/>
    <n v="9"/>
    <n v="10268"/>
    <n v="20253"/>
    <n v="92412"/>
    <n v="182277"/>
    <n v="89865"/>
  </r>
  <r>
    <s v="ORD-1342"/>
    <x v="341"/>
    <x v="1"/>
    <x v="5"/>
    <x v="0"/>
    <x v="3"/>
    <n v="7"/>
    <n v="32620"/>
    <n v="35560"/>
    <n v="228340"/>
    <n v="248920"/>
    <n v="20580"/>
  </r>
  <r>
    <s v="ORD-1343"/>
    <x v="342"/>
    <x v="0"/>
    <x v="1"/>
    <x v="1"/>
    <x v="1"/>
    <n v="9"/>
    <n v="22858"/>
    <n v="27537"/>
    <n v="205722"/>
    <n v="247833"/>
    <n v="42111"/>
  </r>
  <r>
    <s v="ORD-1344"/>
    <x v="343"/>
    <x v="1"/>
    <x v="5"/>
    <x v="1"/>
    <x v="1"/>
    <n v="9"/>
    <n v="9650"/>
    <n v="19095"/>
    <n v="86850"/>
    <n v="171855"/>
    <n v="85005"/>
  </r>
  <r>
    <s v="ORD-1345"/>
    <x v="344"/>
    <x v="1"/>
    <x v="2"/>
    <x v="0"/>
    <x v="3"/>
    <n v="7"/>
    <n v="23050"/>
    <n v="26386"/>
    <n v="161350"/>
    <n v="184702"/>
    <n v="23352"/>
  </r>
  <r>
    <s v="ORD-1346"/>
    <x v="345"/>
    <x v="1"/>
    <x v="3"/>
    <x v="1"/>
    <x v="2"/>
    <n v="5"/>
    <n v="2278"/>
    <n v="10813"/>
    <n v="11390"/>
    <n v="54065"/>
    <n v="42675"/>
  </r>
  <r>
    <s v="ORD-1347"/>
    <x v="346"/>
    <x v="3"/>
    <x v="2"/>
    <x v="1"/>
    <x v="1"/>
    <n v="2"/>
    <n v="31576"/>
    <n v="32037"/>
    <n v="63152"/>
    <n v="64074"/>
    <n v="922"/>
  </r>
  <r>
    <s v="ORD-1348"/>
    <x v="347"/>
    <x v="1"/>
    <x v="2"/>
    <x v="1"/>
    <x v="2"/>
    <n v="1"/>
    <n v="31405"/>
    <n v="38163"/>
    <n v="31405"/>
    <n v="38163"/>
    <n v="6758"/>
  </r>
  <r>
    <s v="ORD-1349"/>
    <x v="348"/>
    <x v="0"/>
    <x v="5"/>
    <x v="1"/>
    <x v="1"/>
    <n v="4"/>
    <n v="18621"/>
    <n v="27256"/>
    <n v="74484"/>
    <n v="109024"/>
    <n v="34540"/>
  </r>
  <r>
    <s v="ORD-1350"/>
    <x v="349"/>
    <x v="2"/>
    <x v="0"/>
    <x v="0"/>
    <x v="3"/>
    <n v="3"/>
    <n v="33463"/>
    <n v="39589"/>
    <n v="100389"/>
    <n v="118767"/>
    <n v="18378"/>
  </r>
  <r>
    <s v="ORD-1351"/>
    <x v="350"/>
    <x v="3"/>
    <x v="5"/>
    <x v="1"/>
    <x v="1"/>
    <n v="2"/>
    <n v="24639"/>
    <n v="33085"/>
    <n v="49278"/>
    <n v="66170"/>
    <n v="16892"/>
  </r>
  <r>
    <s v="ORD-1352"/>
    <x v="351"/>
    <x v="0"/>
    <x v="2"/>
    <x v="0"/>
    <x v="4"/>
    <n v="10"/>
    <n v="38923"/>
    <n v="47511"/>
    <n v="389230"/>
    <n v="475110"/>
    <n v="85880"/>
  </r>
  <r>
    <s v="ORD-1353"/>
    <x v="352"/>
    <x v="1"/>
    <x v="5"/>
    <x v="0"/>
    <x v="4"/>
    <n v="5"/>
    <n v="26245"/>
    <n v="32922"/>
    <n v="131225"/>
    <n v="164610"/>
    <n v="33385"/>
  </r>
  <r>
    <s v="ORD-1354"/>
    <x v="353"/>
    <x v="3"/>
    <x v="0"/>
    <x v="1"/>
    <x v="2"/>
    <n v="10"/>
    <n v="15199"/>
    <n v="18732"/>
    <n v="151990"/>
    <n v="187320"/>
    <n v="35330"/>
  </r>
  <r>
    <s v="ORD-1355"/>
    <x v="354"/>
    <x v="3"/>
    <x v="1"/>
    <x v="0"/>
    <x v="4"/>
    <n v="8"/>
    <n v="12818"/>
    <n v="15686"/>
    <n v="102544"/>
    <n v="125488"/>
    <n v="22944"/>
  </r>
  <r>
    <s v="ORD-1356"/>
    <x v="355"/>
    <x v="3"/>
    <x v="5"/>
    <x v="1"/>
    <x v="1"/>
    <n v="2"/>
    <n v="15044"/>
    <n v="22854"/>
    <n v="30088"/>
    <n v="45708"/>
    <n v="15620"/>
  </r>
  <r>
    <s v="ORD-1357"/>
    <x v="356"/>
    <x v="0"/>
    <x v="0"/>
    <x v="1"/>
    <x v="5"/>
    <n v="3"/>
    <n v="37438"/>
    <n v="40026"/>
    <n v="112314"/>
    <n v="120078"/>
    <n v="7764"/>
  </r>
  <r>
    <s v="ORD-1358"/>
    <x v="357"/>
    <x v="1"/>
    <x v="0"/>
    <x v="0"/>
    <x v="0"/>
    <n v="5"/>
    <n v="26503"/>
    <n v="35002"/>
    <n v="132515"/>
    <n v="175010"/>
    <n v="42495"/>
  </r>
  <r>
    <s v="ORD-1359"/>
    <x v="358"/>
    <x v="3"/>
    <x v="3"/>
    <x v="0"/>
    <x v="4"/>
    <n v="3"/>
    <n v="10387"/>
    <n v="13664"/>
    <n v="31161"/>
    <n v="40992"/>
    <n v="9831"/>
  </r>
  <r>
    <s v="ORD-1360"/>
    <x v="359"/>
    <x v="3"/>
    <x v="3"/>
    <x v="1"/>
    <x v="2"/>
    <n v="5"/>
    <n v="20203"/>
    <n v="27971"/>
    <n v="101015"/>
    <n v="139855"/>
    <n v="38840"/>
  </r>
  <r>
    <s v="ORD-1361"/>
    <x v="360"/>
    <x v="3"/>
    <x v="5"/>
    <x v="1"/>
    <x v="2"/>
    <n v="8"/>
    <n v="7947"/>
    <n v="12937"/>
    <n v="63576"/>
    <n v="103496"/>
    <n v="39920"/>
  </r>
  <r>
    <s v="ORD-1362"/>
    <x v="361"/>
    <x v="2"/>
    <x v="5"/>
    <x v="1"/>
    <x v="1"/>
    <n v="9"/>
    <n v="2060"/>
    <n v="5382"/>
    <n v="18540"/>
    <n v="48438"/>
    <n v="29898"/>
  </r>
  <r>
    <s v="ORD-1363"/>
    <x v="362"/>
    <x v="2"/>
    <x v="2"/>
    <x v="1"/>
    <x v="2"/>
    <n v="8"/>
    <n v="6390"/>
    <n v="14530"/>
    <n v="51120"/>
    <n v="116240"/>
    <n v="65120"/>
  </r>
  <r>
    <s v="ORD-1364"/>
    <x v="363"/>
    <x v="3"/>
    <x v="0"/>
    <x v="0"/>
    <x v="3"/>
    <n v="9"/>
    <n v="38898"/>
    <n v="41255"/>
    <n v="350082"/>
    <n v="371295"/>
    <n v="21213"/>
  </r>
  <r>
    <s v="ORD-1365"/>
    <x v="364"/>
    <x v="3"/>
    <x v="5"/>
    <x v="1"/>
    <x v="2"/>
    <n v="8"/>
    <n v="25723"/>
    <n v="34669"/>
    <n v="205784"/>
    <n v="277352"/>
    <n v="71568"/>
  </r>
  <r>
    <s v="ORD-1366"/>
    <x v="365"/>
    <x v="3"/>
    <x v="1"/>
    <x v="0"/>
    <x v="3"/>
    <n v="1"/>
    <n v="6998"/>
    <n v="9331"/>
    <n v="6998"/>
    <n v="9331"/>
    <n v="2333"/>
  </r>
  <r>
    <s v="ORD-1367"/>
    <x v="366"/>
    <x v="0"/>
    <x v="3"/>
    <x v="0"/>
    <x v="0"/>
    <n v="3"/>
    <n v="5076"/>
    <n v="14959"/>
    <n v="15228"/>
    <n v="44877"/>
    <n v="29649"/>
  </r>
  <r>
    <s v="ORD-1368"/>
    <x v="367"/>
    <x v="3"/>
    <x v="5"/>
    <x v="0"/>
    <x v="4"/>
    <n v="8"/>
    <n v="2537"/>
    <n v="2939"/>
    <n v="20296"/>
    <n v="23512"/>
    <n v="3216"/>
  </r>
  <r>
    <s v="ORD-1369"/>
    <x v="368"/>
    <x v="2"/>
    <x v="4"/>
    <x v="1"/>
    <x v="1"/>
    <n v="6"/>
    <n v="31028"/>
    <n v="34895"/>
    <n v="186168"/>
    <n v="209370"/>
    <n v="23202"/>
  </r>
  <r>
    <s v="ORD-1370"/>
    <x v="369"/>
    <x v="3"/>
    <x v="0"/>
    <x v="1"/>
    <x v="1"/>
    <n v="4"/>
    <n v="2728"/>
    <n v="12579"/>
    <n v="10912"/>
    <n v="50316"/>
    <n v="39404"/>
  </r>
  <r>
    <s v="ORD-1371"/>
    <x v="370"/>
    <x v="3"/>
    <x v="2"/>
    <x v="1"/>
    <x v="2"/>
    <n v="9"/>
    <n v="30549"/>
    <n v="33539"/>
    <n v="274941"/>
    <n v="301851"/>
    <n v="26910"/>
  </r>
  <r>
    <s v="ORD-1372"/>
    <x v="371"/>
    <x v="3"/>
    <x v="5"/>
    <x v="0"/>
    <x v="3"/>
    <n v="2"/>
    <n v="34009"/>
    <n v="39010"/>
    <n v="68018"/>
    <n v="78020"/>
    <n v="10002"/>
  </r>
  <r>
    <s v="ORD-1373"/>
    <x v="372"/>
    <x v="1"/>
    <x v="2"/>
    <x v="1"/>
    <x v="5"/>
    <n v="3"/>
    <n v="30558"/>
    <n v="32438"/>
    <n v="91674"/>
    <n v="97314"/>
    <n v="5640"/>
  </r>
  <r>
    <s v="ORD-1374"/>
    <x v="373"/>
    <x v="0"/>
    <x v="4"/>
    <x v="0"/>
    <x v="0"/>
    <n v="3"/>
    <n v="35038"/>
    <n v="35770"/>
    <n v="105114"/>
    <n v="107310"/>
    <n v="2196"/>
  </r>
  <r>
    <s v="ORD-1375"/>
    <x v="374"/>
    <x v="2"/>
    <x v="3"/>
    <x v="0"/>
    <x v="0"/>
    <n v="3"/>
    <n v="24443"/>
    <n v="29661"/>
    <n v="73329"/>
    <n v="88983"/>
    <n v="15654"/>
  </r>
  <r>
    <s v="ORD-1376"/>
    <x v="375"/>
    <x v="2"/>
    <x v="2"/>
    <x v="0"/>
    <x v="3"/>
    <n v="6"/>
    <n v="12654"/>
    <n v="17365"/>
    <n v="75924"/>
    <n v="104190"/>
    <n v="28266"/>
  </r>
  <r>
    <s v="ORD-1377"/>
    <x v="376"/>
    <x v="1"/>
    <x v="3"/>
    <x v="1"/>
    <x v="5"/>
    <n v="7"/>
    <n v="30937"/>
    <n v="36858"/>
    <n v="216559"/>
    <n v="258006"/>
    <n v="41447"/>
  </r>
  <r>
    <s v="ORD-1378"/>
    <x v="377"/>
    <x v="3"/>
    <x v="1"/>
    <x v="1"/>
    <x v="1"/>
    <n v="6"/>
    <n v="39139"/>
    <n v="43375"/>
    <n v="234834"/>
    <n v="260250"/>
    <n v="25416"/>
  </r>
  <r>
    <s v="ORD-1379"/>
    <x v="378"/>
    <x v="1"/>
    <x v="2"/>
    <x v="0"/>
    <x v="4"/>
    <n v="6"/>
    <n v="29642"/>
    <n v="33246"/>
    <n v="177852"/>
    <n v="199476"/>
    <n v="21624"/>
  </r>
  <r>
    <s v="ORD-1380"/>
    <x v="379"/>
    <x v="3"/>
    <x v="3"/>
    <x v="0"/>
    <x v="0"/>
    <n v="6"/>
    <n v="20154"/>
    <n v="25640"/>
    <n v="120924"/>
    <n v="153840"/>
    <n v="32916"/>
  </r>
  <r>
    <s v="ORD-1381"/>
    <x v="380"/>
    <x v="3"/>
    <x v="1"/>
    <x v="0"/>
    <x v="0"/>
    <n v="3"/>
    <n v="18997"/>
    <n v="25919"/>
    <n v="56991"/>
    <n v="77757"/>
    <n v="20766"/>
  </r>
  <r>
    <s v="ORD-1382"/>
    <x v="381"/>
    <x v="1"/>
    <x v="2"/>
    <x v="0"/>
    <x v="4"/>
    <n v="5"/>
    <n v="4736"/>
    <n v="5968"/>
    <n v="23680"/>
    <n v="29840"/>
    <n v="6160"/>
  </r>
  <r>
    <s v="ORD-1383"/>
    <x v="382"/>
    <x v="2"/>
    <x v="5"/>
    <x v="1"/>
    <x v="2"/>
    <n v="7"/>
    <n v="4073"/>
    <n v="10914"/>
    <n v="28511"/>
    <n v="76398"/>
    <n v="47887"/>
  </r>
  <r>
    <s v="ORD-1384"/>
    <x v="383"/>
    <x v="1"/>
    <x v="0"/>
    <x v="0"/>
    <x v="4"/>
    <n v="9"/>
    <n v="33144"/>
    <n v="37652"/>
    <n v="298296"/>
    <n v="338868"/>
    <n v="40572"/>
  </r>
  <r>
    <s v="ORD-1385"/>
    <x v="384"/>
    <x v="3"/>
    <x v="5"/>
    <x v="0"/>
    <x v="0"/>
    <n v="9"/>
    <n v="36576"/>
    <n v="44663"/>
    <n v="329184"/>
    <n v="401967"/>
    <n v="72783"/>
  </r>
  <r>
    <s v="ORD-1386"/>
    <x v="385"/>
    <x v="0"/>
    <x v="2"/>
    <x v="1"/>
    <x v="1"/>
    <n v="6"/>
    <n v="19606"/>
    <n v="23656"/>
    <n v="117636"/>
    <n v="141936"/>
    <n v="24300"/>
  </r>
  <r>
    <s v="ORD-1387"/>
    <x v="386"/>
    <x v="1"/>
    <x v="1"/>
    <x v="0"/>
    <x v="4"/>
    <n v="7"/>
    <n v="17351"/>
    <n v="17789"/>
    <n v="121457"/>
    <n v="124523"/>
    <n v="3066"/>
  </r>
  <r>
    <s v="ORD-1388"/>
    <x v="387"/>
    <x v="2"/>
    <x v="5"/>
    <x v="1"/>
    <x v="1"/>
    <n v="8"/>
    <n v="28386"/>
    <n v="36029"/>
    <n v="227088"/>
    <n v="288232"/>
    <n v="61144"/>
  </r>
  <r>
    <s v="ORD-1389"/>
    <x v="388"/>
    <x v="0"/>
    <x v="4"/>
    <x v="1"/>
    <x v="1"/>
    <n v="5"/>
    <n v="30737"/>
    <n v="39639"/>
    <n v="153685"/>
    <n v="198195"/>
    <n v="44510"/>
  </r>
  <r>
    <s v="ORD-1390"/>
    <x v="389"/>
    <x v="3"/>
    <x v="0"/>
    <x v="0"/>
    <x v="4"/>
    <n v="9"/>
    <n v="23908"/>
    <n v="25435"/>
    <n v="215172"/>
    <n v="228915"/>
    <n v="13743"/>
  </r>
  <r>
    <s v="ORD-1391"/>
    <x v="390"/>
    <x v="1"/>
    <x v="1"/>
    <x v="1"/>
    <x v="5"/>
    <n v="6"/>
    <n v="32460"/>
    <n v="42231"/>
    <n v="194760"/>
    <n v="253386"/>
    <n v="58626"/>
  </r>
  <r>
    <s v="ORD-1392"/>
    <x v="391"/>
    <x v="2"/>
    <x v="3"/>
    <x v="0"/>
    <x v="4"/>
    <n v="7"/>
    <n v="22994"/>
    <n v="29977"/>
    <n v="160958"/>
    <n v="209839"/>
    <n v="48881"/>
  </r>
  <r>
    <s v="ORD-1393"/>
    <x v="392"/>
    <x v="1"/>
    <x v="5"/>
    <x v="0"/>
    <x v="3"/>
    <n v="1"/>
    <n v="30549"/>
    <n v="38349"/>
    <n v="30549"/>
    <n v="38349"/>
    <n v="7800"/>
  </r>
  <r>
    <s v="ORD-1394"/>
    <x v="393"/>
    <x v="2"/>
    <x v="0"/>
    <x v="0"/>
    <x v="3"/>
    <n v="6"/>
    <n v="33430"/>
    <n v="37893"/>
    <n v="200580"/>
    <n v="227358"/>
    <n v="26778"/>
  </r>
  <r>
    <s v="ORD-1395"/>
    <x v="394"/>
    <x v="0"/>
    <x v="5"/>
    <x v="1"/>
    <x v="1"/>
    <n v="5"/>
    <n v="35197"/>
    <n v="37896"/>
    <n v="175985"/>
    <n v="189480"/>
    <n v="13495"/>
  </r>
  <r>
    <s v="ORD-1396"/>
    <x v="395"/>
    <x v="3"/>
    <x v="4"/>
    <x v="1"/>
    <x v="1"/>
    <n v="1"/>
    <n v="27078"/>
    <n v="31452"/>
    <n v="27078"/>
    <n v="31452"/>
    <n v="4374"/>
  </r>
  <r>
    <s v="ORD-1397"/>
    <x v="396"/>
    <x v="1"/>
    <x v="1"/>
    <x v="0"/>
    <x v="3"/>
    <n v="5"/>
    <n v="12205"/>
    <n v="17630"/>
    <n v="61025"/>
    <n v="88150"/>
    <n v="27125"/>
  </r>
  <r>
    <s v="ORD-1398"/>
    <x v="397"/>
    <x v="0"/>
    <x v="3"/>
    <x v="1"/>
    <x v="2"/>
    <n v="4"/>
    <n v="3369"/>
    <n v="6143"/>
    <n v="13476"/>
    <n v="24572"/>
    <n v="11096"/>
  </r>
  <r>
    <s v="ORD-1399"/>
    <x v="398"/>
    <x v="1"/>
    <x v="3"/>
    <x v="1"/>
    <x v="5"/>
    <n v="1"/>
    <n v="36937"/>
    <n v="39506"/>
    <n v="36937"/>
    <n v="39506"/>
    <n v="2569"/>
  </r>
  <r>
    <s v="ORD-1400"/>
    <x v="399"/>
    <x v="2"/>
    <x v="1"/>
    <x v="1"/>
    <x v="1"/>
    <n v="8"/>
    <n v="34805"/>
    <n v="41124"/>
    <n v="278440"/>
    <n v="328992"/>
    <n v="50552"/>
  </r>
  <r>
    <s v="ORD-1401"/>
    <x v="400"/>
    <x v="3"/>
    <x v="5"/>
    <x v="0"/>
    <x v="3"/>
    <n v="1"/>
    <n v="30007"/>
    <n v="32685"/>
    <n v="30007"/>
    <n v="32685"/>
    <n v="2678"/>
  </r>
  <r>
    <s v="ORD-1402"/>
    <x v="401"/>
    <x v="1"/>
    <x v="4"/>
    <x v="1"/>
    <x v="5"/>
    <n v="4"/>
    <n v="7074"/>
    <n v="11049"/>
    <n v="28296"/>
    <n v="44196"/>
    <n v="15900"/>
  </r>
  <r>
    <s v="ORD-1403"/>
    <x v="402"/>
    <x v="1"/>
    <x v="0"/>
    <x v="0"/>
    <x v="0"/>
    <n v="8"/>
    <n v="7081"/>
    <n v="12601"/>
    <n v="56648"/>
    <n v="100808"/>
    <n v="44160"/>
  </r>
  <r>
    <s v="ORD-1404"/>
    <x v="403"/>
    <x v="0"/>
    <x v="2"/>
    <x v="1"/>
    <x v="1"/>
    <n v="2"/>
    <n v="11952"/>
    <n v="20595"/>
    <n v="23904"/>
    <n v="41190"/>
    <n v="17286"/>
  </r>
  <r>
    <s v="ORD-1405"/>
    <x v="404"/>
    <x v="1"/>
    <x v="4"/>
    <x v="1"/>
    <x v="5"/>
    <n v="4"/>
    <n v="19410"/>
    <n v="20626"/>
    <n v="77640"/>
    <n v="82504"/>
    <n v="4864"/>
  </r>
  <r>
    <s v="ORD-1406"/>
    <x v="405"/>
    <x v="0"/>
    <x v="3"/>
    <x v="0"/>
    <x v="3"/>
    <n v="3"/>
    <n v="29187"/>
    <n v="32082"/>
    <n v="87561"/>
    <n v="96246"/>
    <n v="8685"/>
  </r>
  <r>
    <s v="ORD-1407"/>
    <x v="406"/>
    <x v="1"/>
    <x v="0"/>
    <x v="0"/>
    <x v="3"/>
    <n v="10"/>
    <n v="19042"/>
    <n v="21257"/>
    <n v="190420"/>
    <n v="212570"/>
    <n v="22150"/>
  </r>
  <r>
    <s v="ORD-1408"/>
    <x v="407"/>
    <x v="3"/>
    <x v="5"/>
    <x v="1"/>
    <x v="1"/>
    <n v="7"/>
    <n v="16048"/>
    <n v="16326"/>
    <n v="112336"/>
    <n v="114282"/>
    <n v="1946"/>
  </r>
  <r>
    <s v="ORD-1409"/>
    <x v="408"/>
    <x v="0"/>
    <x v="2"/>
    <x v="1"/>
    <x v="2"/>
    <n v="6"/>
    <n v="33812"/>
    <n v="43263"/>
    <n v="202872"/>
    <n v="259578"/>
    <n v="56706"/>
  </r>
  <r>
    <s v="ORD-1410"/>
    <x v="409"/>
    <x v="2"/>
    <x v="3"/>
    <x v="0"/>
    <x v="4"/>
    <n v="10"/>
    <n v="11329"/>
    <n v="11827"/>
    <n v="113290"/>
    <n v="118270"/>
    <n v="4980"/>
  </r>
  <r>
    <s v="ORD-1411"/>
    <x v="410"/>
    <x v="1"/>
    <x v="3"/>
    <x v="1"/>
    <x v="5"/>
    <n v="9"/>
    <n v="14704"/>
    <n v="21844"/>
    <n v="132336"/>
    <n v="196596"/>
    <n v="64260"/>
  </r>
  <r>
    <s v="ORD-1412"/>
    <x v="411"/>
    <x v="1"/>
    <x v="2"/>
    <x v="0"/>
    <x v="0"/>
    <n v="3"/>
    <n v="18202"/>
    <n v="22196"/>
    <n v="54606"/>
    <n v="66588"/>
    <n v="11982"/>
  </r>
  <r>
    <s v="ORD-1413"/>
    <x v="412"/>
    <x v="0"/>
    <x v="5"/>
    <x v="1"/>
    <x v="2"/>
    <n v="10"/>
    <n v="7238"/>
    <n v="9876"/>
    <n v="72380"/>
    <n v="98760"/>
    <n v="26380"/>
  </r>
  <r>
    <s v="ORD-1414"/>
    <x v="413"/>
    <x v="1"/>
    <x v="1"/>
    <x v="0"/>
    <x v="4"/>
    <n v="4"/>
    <n v="27876"/>
    <n v="34141"/>
    <n v="111504"/>
    <n v="136564"/>
    <n v="25060"/>
  </r>
  <r>
    <s v="ORD-1415"/>
    <x v="414"/>
    <x v="3"/>
    <x v="3"/>
    <x v="0"/>
    <x v="0"/>
    <n v="3"/>
    <n v="36655"/>
    <n v="37015"/>
    <n v="109965"/>
    <n v="111045"/>
    <n v="1080"/>
  </r>
  <r>
    <s v="ORD-1416"/>
    <x v="415"/>
    <x v="1"/>
    <x v="4"/>
    <x v="0"/>
    <x v="4"/>
    <n v="5"/>
    <n v="21165"/>
    <n v="22995"/>
    <n v="105825"/>
    <n v="114975"/>
    <n v="9150"/>
  </r>
  <r>
    <s v="ORD-1417"/>
    <x v="416"/>
    <x v="3"/>
    <x v="3"/>
    <x v="0"/>
    <x v="3"/>
    <n v="7"/>
    <n v="7948"/>
    <n v="11686"/>
    <n v="55636"/>
    <n v="81802"/>
    <n v="26166"/>
  </r>
  <r>
    <s v="ORD-1418"/>
    <x v="417"/>
    <x v="1"/>
    <x v="5"/>
    <x v="1"/>
    <x v="1"/>
    <n v="5"/>
    <n v="12571"/>
    <n v="20774"/>
    <n v="62855"/>
    <n v="103870"/>
    <n v="41015"/>
  </r>
  <r>
    <s v="ORD-1419"/>
    <x v="418"/>
    <x v="2"/>
    <x v="4"/>
    <x v="0"/>
    <x v="3"/>
    <n v="7"/>
    <n v="11880"/>
    <n v="12597"/>
    <n v="83160"/>
    <n v="88179"/>
    <n v="5019"/>
  </r>
  <r>
    <s v="ORD-1420"/>
    <x v="419"/>
    <x v="3"/>
    <x v="3"/>
    <x v="0"/>
    <x v="4"/>
    <n v="4"/>
    <n v="14808"/>
    <n v="23237"/>
    <n v="59232"/>
    <n v="92948"/>
    <n v="33716"/>
  </r>
  <r>
    <s v="ORD-1421"/>
    <x v="420"/>
    <x v="1"/>
    <x v="1"/>
    <x v="1"/>
    <x v="2"/>
    <n v="9"/>
    <n v="14728"/>
    <n v="19569"/>
    <n v="132552"/>
    <n v="176121"/>
    <n v="43569"/>
  </r>
  <r>
    <s v="ORD-1422"/>
    <x v="421"/>
    <x v="0"/>
    <x v="1"/>
    <x v="0"/>
    <x v="0"/>
    <n v="10"/>
    <n v="21577"/>
    <n v="24858"/>
    <n v="215770"/>
    <n v="248580"/>
    <n v="32810"/>
  </r>
  <r>
    <s v="ORD-1423"/>
    <x v="422"/>
    <x v="0"/>
    <x v="0"/>
    <x v="1"/>
    <x v="1"/>
    <n v="1"/>
    <n v="20680"/>
    <n v="24395"/>
    <n v="20680"/>
    <n v="24395"/>
    <n v="3715"/>
  </r>
  <r>
    <s v="ORD-1424"/>
    <x v="423"/>
    <x v="0"/>
    <x v="0"/>
    <x v="0"/>
    <x v="3"/>
    <n v="4"/>
    <n v="2704"/>
    <n v="3473"/>
    <n v="10816"/>
    <n v="13892"/>
    <n v="3076"/>
  </r>
  <r>
    <s v="ORD-1425"/>
    <x v="424"/>
    <x v="0"/>
    <x v="0"/>
    <x v="0"/>
    <x v="0"/>
    <n v="4"/>
    <n v="6904"/>
    <n v="9856"/>
    <n v="27616"/>
    <n v="39424"/>
    <n v="11808"/>
  </r>
  <r>
    <s v="ORD-1426"/>
    <x v="425"/>
    <x v="1"/>
    <x v="1"/>
    <x v="0"/>
    <x v="0"/>
    <n v="6"/>
    <n v="30008"/>
    <n v="35165"/>
    <n v="180048"/>
    <n v="210990"/>
    <n v="30942"/>
  </r>
  <r>
    <s v="ORD-1427"/>
    <x v="426"/>
    <x v="1"/>
    <x v="1"/>
    <x v="1"/>
    <x v="1"/>
    <n v="1"/>
    <n v="17893"/>
    <n v="20233"/>
    <n v="17893"/>
    <n v="20233"/>
    <n v="2340"/>
  </r>
  <r>
    <s v="ORD-1428"/>
    <x v="427"/>
    <x v="0"/>
    <x v="2"/>
    <x v="1"/>
    <x v="2"/>
    <n v="1"/>
    <n v="39831"/>
    <n v="40281"/>
    <n v="39831"/>
    <n v="40281"/>
    <n v="450"/>
  </r>
  <r>
    <s v="ORD-1429"/>
    <x v="428"/>
    <x v="2"/>
    <x v="0"/>
    <x v="0"/>
    <x v="3"/>
    <n v="9"/>
    <n v="12809"/>
    <n v="14722"/>
    <n v="115281"/>
    <n v="132498"/>
    <n v="17217"/>
  </r>
  <r>
    <s v="ORD-1430"/>
    <x v="429"/>
    <x v="1"/>
    <x v="0"/>
    <x v="0"/>
    <x v="4"/>
    <n v="3"/>
    <n v="27763"/>
    <n v="31969"/>
    <n v="83289"/>
    <n v="95907"/>
    <n v="12618"/>
  </r>
  <r>
    <s v="ORD-1431"/>
    <x v="430"/>
    <x v="2"/>
    <x v="3"/>
    <x v="0"/>
    <x v="0"/>
    <n v="7"/>
    <n v="28576"/>
    <n v="33522"/>
    <n v="200032"/>
    <n v="234654"/>
    <n v="34622"/>
  </r>
  <r>
    <s v="ORD-1432"/>
    <x v="431"/>
    <x v="3"/>
    <x v="1"/>
    <x v="0"/>
    <x v="4"/>
    <n v="2"/>
    <n v="1097"/>
    <n v="1409"/>
    <n v="2194"/>
    <n v="2818"/>
    <n v="624"/>
  </r>
  <r>
    <s v="ORD-1433"/>
    <x v="432"/>
    <x v="0"/>
    <x v="0"/>
    <x v="0"/>
    <x v="3"/>
    <n v="2"/>
    <n v="2084"/>
    <n v="6054"/>
    <n v="4168"/>
    <n v="12108"/>
    <n v="7940"/>
  </r>
  <r>
    <s v="ORD-1434"/>
    <x v="433"/>
    <x v="3"/>
    <x v="1"/>
    <x v="1"/>
    <x v="1"/>
    <n v="7"/>
    <n v="28168"/>
    <n v="35566"/>
    <n v="197176"/>
    <n v="248962"/>
    <n v="51786"/>
  </r>
  <r>
    <s v="ORD-1435"/>
    <x v="434"/>
    <x v="0"/>
    <x v="2"/>
    <x v="0"/>
    <x v="4"/>
    <n v="9"/>
    <n v="10268"/>
    <n v="20253"/>
    <n v="92412"/>
    <n v="182277"/>
    <n v="89865"/>
  </r>
  <r>
    <s v="ORD-1436"/>
    <x v="435"/>
    <x v="1"/>
    <x v="5"/>
    <x v="0"/>
    <x v="3"/>
    <n v="7"/>
    <n v="32620"/>
    <n v="35560"/>
    <n v="228340"/>
    <n v="248920"/>
    <n v="20580"/>
  </r>
  <r>
    <s v="ORD-1437"/>
    <x v="436"/>
    <x v="0"/>
    <x v="1"/>
    <x v="1"/>
    <x v="1"/>
    <n v="9"/>
    <n v="22858"/>
    <n v="27537"/>
    <n v="205722"/>
    <n v="247833"/>
    <n v="42111"/>
  </r>
  <r>
    <s v="ORD-1438"/>
    <x v="437"/>
    <x v="1"/>
    <x v="5"/>
    <x v="1"/>
    <x v="1"/>
    <n v="9"/>
    <n v="9650"/>
    <n v="19095"/>
    <n v="86850"/>
    <n v="171855"/>
    <n v="85005"/>
  </r>
  <r>
    <s v="ORD-1439"/>
    <x v="438"/>
    <x v="1"/>
    <x v="2"/>
    <x v="0"/>
    <x v="3"/>
    <n v="7"/>
    <n v="23050"/>
    <n v="26386"/>
    <n v="161350"/>
    <n v="184702"/>
    <n v="23352"/>
  </r>
  <r>
    <s v="ORD-1440"/>
    <x v="439"/>
    <x v="1"/>
    <x v="3"/>
    <x v="1"/>
    <x v="2"/>
    <n v="5"/>
    <n v="2278"/>
    <n v="10813"/>
    <n v="11390"/>
    <n v="54065"/>
    <n v="42675"/>
  </r>
  <r>
    <s v="ORD-1441"/>
    <x v="440"/>
    <x v="3"/>
    <x v="2"/>
    <x v="1"/>
    <x v="1"/>
    <n v="2"/>
    <n v="31576"/>
    <n v="32037"/>
    <n v="63152"/>
    <n v="64074"/>
    <n v="922"/>
  </r>
  <r>
    <s v="ORD-1442"/>
    <x v="441"/>
    <x v="1"/>
    <x v="2"/>
    <x v="1"/>
    <x v="2"/>
    <n v="1"/>
    <n v="31405"/>
    <n v="38163"/>
    <n v="31405"/>
    <n v="38163"/>
    <n v="6758"/>
  </r>
  <r>
    <s v="ORD-1443"/>
    <x v="442"/>
    <x v="0"/>
    <x v="5"/>
    <x v="1"/>
    <x v="1"/>
    <n v="4"/>
    <n v="18621"/>
    <n v="27256"/>
    <n v="74484"/>
    <n v="109024"/>
    <n v="34540"/>
  </r>
  <r>
    <s v="ORD-1444"/>
    <x v="443"/>
    <x v="2"/>
    <x v="0"/>
    <x v="0"/>
    <x v="3"/>
    <n v="3"/>
    <n v="33463"/>
    <n v="39589"/>
    <n v="100389"/>
    <n v="118767"/>
    <n v="18378"/>
  </r>
  <r>
    <s v="ORD-1445"/>
    <x v="444"/>
    <x v="3"/>
    <x v="5"/>
    <x v="1"/>
    <x v="1"/>
    <n v="2"/>
    <n v="24639"/>
    <n v="33085"/>
    <n v="49278"/>
    <n v="66170"/>
    <n v="16892"/>
  </r>
  <r>
    <s v="ORD-1446"/>
    <x v="445"/>
    <x v="0"/>
    <x v="2"/>
    <x v="0"/>
    <x v="4"/>
    <n v="10"/>
    <n v="38923"/>
    <n v="47511"/>
    <n v="389230"/>
    <n v="475110"/>
    <n v="85880"/>
  </r>
  <r>
    <s v="ORD-1447"/>
    <x v="446"/>
    <x v="1"/>
    <x v="5"/>
    <x v="0"/>
    <x v="4"/>
    <n v="5"/>
    <n v="26245"/>
    <n v="32922"/>
    <n v="131225"/>
    <n v="164610"/>
    <n v="33385"/>
  </r>
  <r>
    <s v="ORD-1448"/>
    <x v="447"/>
    <x v="3"/>
    <x v="0"/>
    <x v="1"/>
    <x v="2"/>
    <n v="10"/>
    <n v="15199"/>
    <n v="18732"/>
    <n v="151990"/>
    <n v="187320"/>
    <n v="35330"/>
  </r>
  <r>
    <s v="ORD-1449"/>
    <x v="448"/>
    <x v="3"/>
    <x v="1"/>
    <x v="0"/>
    <x v="4"/>
    <n v="8"/>
    <n v="12818"/>
    <n v="15686"/>
    <n v="102544"/>
    <n v="125488"/>
    <n v="22944"/>
  </r>
  <r>
    <s v="ORD-1450"/>
    <x v="449"/>
    <x v="3"/>
    <x v="5"/>
    <x v="1"/>
    <x v="1"/>
    <n v="2"/>
    <n v="15044"/>
    <n v="22854"/>
    <n v="30088"/>
    <n v="45708"/>
    <n v="15620"/>
  </r>
  <r>
    <s v="ORD-1451"/>
    <x v="450"/>
    <x v="0"/>
    <x v="0"/>
    <x v="1"/>
    <x v="5"/>
    <n v="3"/>
    <n v="37438"/>
    <n v="40026"/>
    <n v="112314"/>
    <n v="120078"/>
    <n v="7764"/>
  </r>
  <r>
    <s v="ORD-1452"/>
    <x v="451"/>
    <x v="1"/>
    <x v="0"/>
    <x v="0"/>
    <x v="0"/>
    <n v="5"/>
    <n v="26503"/>
    <n v="35002"/>
    <n v="132515"/>
    <n v="175010"/>
    <n v="42495"/>
  </r>
  <r>
    <s v="ORD-1453"/>
    <x v="452"/>
    <x v="3"/>
    <x v="3"/>
    <x v="0"/>
    <x v="4"/>
    <n v="3"/>
    <n v="10387"/>
    <n v="13664"/>
    <n v="31161"/>
    <n v="40992"/>
    <n v="9831"/>
  </r>
  <r>
    <s v="ORD-1454"/>
    <x v="453"/>
    <x v="3"/>
    <x v="3"/>
    <x v="1"/>
    <x v="2"/>
    <n v="5"/>
    <n v="20203"/>
    <n v="27971"/>
    <n v="101015"/>
    <n v="139855"/>
    <n v="38840"/>
  </r>
  <r>
    <s v="ORD-1455"/>
    <x v="454"/>
    <x v="3"/>
    <x v="5"/>
    <x v="1"/>
    <x v="2"/>
    <n v="8"/>
    <n v="7947"/>
    <n v="12937"/>
    <n v="63576"/>
    <n v="103496"/>
    <n v="39920"/>
  </r>
  <r>
    <s v="ORD-1456"/>
    <x v="455"/>
    <x v="2"/>
    <x v="5"/>
    <x v="1"/>
    <x v="1"/>
    <n v="9"/>
    <n v="2060"/>
    <n v="5382"/>
    <n v="18540"/>
    <n v="48438"/>
    <n v="29898"/>
  </r>
  <r>
    <s v="ORD-1457"/>
    <x v="456"/>
    <x v="2"/>
    <x v="2"/>
    <x v="1"/>
    <x v="2"/>
    <n v="8"/>
    <n v="6390"/>
    <n v="14530"/>
    <n v="51120"/>
    <n v="116240"/>
    <n v="65120"/>
  </r>
  <r>
    <s v="ORD-1458"/>
    <x v="457"/>
    <x v="3"/>
    <x v="0"/>
    <x v="0"/>
    <x v="3"/>
    <n v="9"/>
    <n v="38898"/>
    <n v="41255"/>
    <n v="350082"/>
    <n v="371295"/>
    <n v="21213"/>
  </r>
  <r>
    <s v="ORD-1459"/>
    <x v="458"/>
    <x v="3"/>
    <x v="5"/>
    <x v="1"/>
    <x v="2"/>
    <n v="8"/>
    <n v="25723"/>
    <n v="34669"/>
    <n v="205784"/>
    <n v="277352"/>
    <n v="71568"/>
  </r>
  <r>
    <s v="ORD-1460"/>
    <x v="459"/>
    <x v="1"/>
    <x v="0"/>
    <x v="1"/>
    <x v="1"/>
    <n v="10"/>
    <n v="25458"/>
    <n v="26741"/>
    <n v="254580"/>
    <n v="267410"/>
    <n v="12830"/>
  </r>
  <r>
    <s v="ORD-1461"/>
    <x v="460"/>
    <x v="3"/>
    <x v="4"/>
    <x v="0"/>
    <x v="0"/>
    <n v="1"/>
    <n v="34051"/>
    <n v="34743"/>
    <n v="34051"/>
    <n v="34743"/>
    <n v="692"/>
  </r>
  <r>
    <s v="ORD-1462"/>
    <x v="461"/>
    <x v="3"/>
    <x v="2"/>
    <x v="0"/>
    <x v="0"/>
    <n v="1"/>
    <n v="11366"/>
    <n v="13407"/>
    <n v="11366"/>
    <n v="13407"/>
    <n v="2041"/>
  </r>
  <r>
    <s v="ORD-1463"/>
    <x v="462"/>
    <x v="1"/>
    <x v="0"/>
    <x v="1"/>
    <x v="2"/>
    <n v="7"/>
    <n v="13921"/>
    <n v="14739"/>
    <n v="97447"/>
    <n v="103173"/>
    <n v="5726"/>
  </r>
  <r>
    <s v="ORD-1464"/>
    <x v="463"/>
    <x v="3"/>
    <x v="3"/>
    <x v="0"/>
    <x v="4"/>
    <n v="10"/>
    <n v="9265"/>
    <n v="16340"/>
    <n v="92650"/>
    <n v="163400"/>
    <n v="70750"/>
  </r>
  <r>
    <s v="ORD-1465"/>
    <x v="464"/>
    <x v="1"/>
    <x v="0"/>
    <x v="1"/>
    <x v="5"/>
    <n v="2"/>
    <n v="26990"/>
    <n v="33262"/>
    <n v="53980"/>
    <n v="66524"/>
    <n v="12544"/>
  </r>
  <r>
    <s v="ORD-1466"/>
    <x v="465"/>
    <x v="3"/>
    <x v="1"/>
    <x v="0"/>
    <x v="3"/>
    <n v="2"/>
    <n v="22904"/>
    <n v="31832"/>
    <n v="45808"/>
    <n v="63664"/>
    <n v="17856"/>
  </r>
  <r>
    <s v="ORD-1467"/>
    <x v="466"/>
    <x v="2"/>
    <x v="3"/>
    <x v="0"/>
    <x v="0"/>
    <n v="2"/>
    <n v="10200"/>
    <n v="19241"/>
    <n v="20400"/>
    <n v="38482"/>
    <n v="18082"/>
  </r>
  <r>
    <s v="ORD-1468"/>
    <x v="467"/>
    <x v="2"/>
    <x v="5"/>
    <x v="0"/>
    <x v="3"/>
    <n v="3"/>
    <n v="18600"/>
    <n v="24967"/>
    <n v="55800"/>
    <n v="74901"/>
    <n v="19101"/>
  </r>
  <r>
    <s v="ORD-1469"/>
    <x v="468"/>
    <x v="2"/>
    <x v="1"/>
    <x v="1"/>
    <x v="5"/>
    <n v="4"/>
    <n v="39975"/>
    <n v="43568"/>
    <n v="159900"/>
    <n v="174272"/>
    <n v="14372"/>
  </r>
  <r>
    <s v="ORD-1470"/>
    <x v="469"/>
    <x v="1"/>
    <x v="5"/>
    <x v="1"/>
    <x v="1"/>
    <n v="3"/>
    <n v="17392"/>
    <n v="22142"/>
    <n v="52176"/>
    <n v="66426"/>
    <n v="14250"/>
  </r>
  <r>
    <s v="ORD-1471"/>
    <x v="470"/>
    <x v="0"/>
    <x v="0"/>
    <x v="1"/>
    <x v="5"/>
    <n v="6"/>
    <n v="14288"/>
    <n v="23843"/>
    <n v="85728"/>
    <n v="143058"/>
    <n v="57330"/>
  </r>
  <r>
    <s v="ORD-1472"/>
    <x v="471"/>
    <x v="0"/>
    <x v="4"/>
    <x v="0"/>
    <x v="0"/>
    <n v="3"/>
    <n v="35038"/>
    <n v="35770"/>
    <n v="105114"/>
    <n v="107310"/>
    <n v="2196"/>
  </r>
  <r>
    <s v="ORD-1473"/>
    <x v="472"/>
    <x v="2"/>
    <x v="3"/>
    <x v="0"/>
    <x v="0"/>
    <n v="3"/>
    <n v="24443"/>
    <n v="29661"/>
    <n v="73329"/>
    <n v="88983"/>
    <n v="15654"/>
  </r>
  <r>
    <s v="ORD-1474"/>
    <x v="473"/>
    <x v="2"/>
    <x v="2"/>
    <x v="0"/>
    <x v="3"/>
    <n v="6"/>
    <n v="12654"/>
    <n v="17365"/>
    <n v="75924"/>
    <n v="104190"/>
    <n v="28266"/>
  </r>
  <r>
    <s v="ORD-1475"/>
    <x v="474"/>
    <x v="1"/>
    <x v="3"/>
    <x v="1"/>
    <x v="5"/>
    <n v="7"/>
    <n v="30937"/>
    <n v="36858"/>
    <n v="216559"/>
    <n v="258006"/>
    <n v="41447"/>
  </r>
  <r>
    <s v="ORD-1476"/>
    <x v="475"/>
    <x v="3"/>
    <x v="1"/>
    <x v="1"/>
    <x v="1"/>
    <n v="6"/>
    <n v="39139"/>
    <n v="43375"/>
    <n v="234834"/>
    <n v="260250"/>
    <n v="25416"/>
  </r>
  <r>
    <s v="ORD-1477"/>
    <x v="476"/>
    <x v="1"/>
    <x v="2"/>
    <x v="0"/>
    <x v="4"/>
    <n v="6"/>
    <n v="29642"/>
    <n v="33246"/>
    <n v="177852"/>
    <n v="199476"/>
    <n v="21624"/>
  </r>
  <r>
    <s v="ORD-1478"/>
    <x v="477"/>
    <x v="3"/>
    <x v="3"/>
    <x v="0"/>
    <x v="0"/>
    <n v="6"/>
    <n v="20154"/>
    <n v="25640"/>
    <n v="120924"/>
    <n v="153840"/>
    <n v="32916"/>
  </r>
  <r>
    <s v="ORD-1479"/>
    <x v="478"/>
    <x v="3"/>
    <x v="1"/>
    <x v="0"/>
    <x v="0"/>
    <n v="3"/>
    <n v="18997"/>
    <n v="25919"/>
    <n v="56991"/>
    <n v="77757"/>
    <n v="20766"/>
  </r>
  <r>
    <s v="ORD-1480"/>
    <x v="479"/>
    <x v="1"/>
    <x v="2"/>
    <x v="0"/>
    <x v="4"/>
    <n v="5"/>
    <n v="4736"/>
    <n v="5968"/>
    <n v="23680"/>
    <n v="29840"/>
    <n v="6160"/>
  </r>
  <r>
    <s v="ORD-1481"/>
    <x v="480"/>
    <x v="2"/>
    <x v="5"/>
    <x v="1"/>
    <x v="2"/>
    <n v="7"/>
    <n v="4073"/>
    <n v="10914"/>
    <n v="28511"/>
    <n v="76398"/>
    <n v="47887"/>
  </r>
  <r>
    <s v="ORD-1482"/>
    <x v="481"/>
    <x v="1"/>
    <x v="0"/>
    <x v="0"/>
    <x v="4"/>
    <n v="9"/>
    <n v="33144"/>
    <n v="37652"/>
    <n v="298296"/>
    <n v="338868"/>
    <n v="40572"/>
  </r>
  <r>
    <s v="ORD-1483"/>
    <x v="482"/>
    <x v="3"/>
    <x v="5"/>
    <x v="0"/>
    <x v="0"/>
    <n v="9"/>
    <n v="36576"/>
    <n v="44663"/>
    <n v="329184"/>
    <n v="401967"/>
    <n v="72783"/>
  </r>
  <r>
    <s v="ORD-1484"/>
    <x v="483"/>
    <x v="1"/>
    <x v="4"/>
    <x v="1"/>
    <x v="5"/>
    <n v="4"/>
    <n v="19410"/>
    <n v="20626"/>
    <n v="77640"/>
    <n v="82504"/>
    <n v="4864"/>
  </r>
  <r>
    <s v="ORD-1485"/>
    <x v="484"/>
    <x v="0"/>
    <x v="3"/>
    <x v="0"/>
    <x v="3"/>
    <n v="3"/>
    <n v="29187"/>
    <n v="32082"/>
    <n v="87561"/>
    <n v="96246"/>
    <n v="8685"/>
  </r>
  <r>
    <s v="ORD-1486"/>
    <x v="485"/>
    <x v="1"/>
    <x v="0"/>
    <x v="0"/>
    <x v="3"/>
    <n v="10"/>
    <n v="19042"/>
    <n v="21257"/>
    <n v="190420"/>
    <n v="212570"/>
    <n v="22150"/>
  </r>
  <r>
    <s v="ORD-1487"/>
    <x v="486"/>
    <x v="3"/>
    <x v="5"/>
    <x v="1"/>
    <x v="1"/>
    <n v="7"/>
    <n v="16048"/>
    <n v="16326"/>
    <n v="112336"/>
    <n v="114282"/>
    <n v="1946"/>
  </r>
  <r>
    <s v="ORD-1488"/>
    <x v="487"/>
    <x v="0"/>
    <x v="2"/>
    <x v="1"/>
    <x v="2"/>
    <n v="6"/>
    <n v="33812"/>
    <n v="43263"/>
    <n v="202872"/>
    <n v="259578"/>
    <n v="56706"/>
  </r>
  <r>
    <s v="ORD-1489"/>
    <x v="488"/>
    <x v="2"/>
    <x v="3"/>
    <x v="0"/>
    <x v="4"/>
    <n v="10"/>
    <n v="11329"/>
    <n v="11827"/>
    <n v="113290"/>
    <n v="118270"/>
    <n v="4980"/>
  </r>
  <r>
    <s v="ORD-1490"/>
    <x v="489"/>
    <x v="1"/>
    <x v="3"/>
    <x v="1"/>
    <x v="5"/>
    <n v="9"/>
    <n v="14704"/>
    <n v="21844"/>
    <n v="132336"/>
    <n v="196596"/>
    <n v="64260"/>
  </r>
  <r>
    <s v="ORD-1491"/>
    <x v="490"/>
    <x v="1"/>
    <x v="2"/>
    <x v="0"/>
    <x v="0"/>
    <n v="3"/>
    <n v="18202"/>
    <n v="22196"/>
    <n v="54606"/>
    <n v="66588"/>
    <n v="11982"/>
  </r>
  <r>
    <s v="ORD-1492"/>
    <x v="491"/>
    <x v="0"/>
    <x v="5"/>
    <x v="1"/>
    <x v="2"/>
    <n v="10"/>
    <n v="7238"/>
    <n v="9876"/>
    <n v="72380"/>
    <n v="98760"/>
    <n v="26380"/>
  </r>
  <r>
    <s v="ORD-1493"/>
    <x v="492"/>
    <x v="1"/>
    <x v="1"/>
    <x v="0"/>
    <x v="4"/>
    <n v="4"/>
    <n v="27876"/>
    <n v="34141"/>
    <n v="111504"/>
    <n v="136564"/>
    <n v="25060"/>
  </r>
  <r>
    <s v="ORD-1494"/>
    <x v="493"/>
    <x v="3"/>
    <x v="3"/>
    <x v="0"/>
    <x v="0"/>
    <n v="3"/>
    <n v="36655"/>
    <n v="37015"/>
    <n v="109965"/>
    <n v="111045"/>
    <n v="1080"/>
  </r>
  <r>
    <s v="ORD-1495"/>
    <x v="494"/>
    <x v="1"/>
    <x v="4"/>
    <x v="0"/>
    <x v="4"/>
    <n v="5"/>
    <n v="21165"/>
    <n v="22995"/>
    <n v="105825"/>
    <n v="114975"/>
    <n v="9150"/>
  </r>
  <r>
    <s v="ORD-1496"/>
    <x v="495"/>
    <x v="3"/>
    <x v="3"/>
    <x v="0"/>
    <x v="3"/>
    <n v="7"/>
    <n v="7948"/>
    <n v="11686"/>
    <n v="55636"/>
    <n v="81802"/>
    <n v="26166"/>
  </r>
  <r>
    <s v="ORD-1497"/>
    <x v="496"/>
    <x v="1"/>
    <x v="5"/>
    <x v="1"/>
    <x v="1"/>
    <n v="5"/>
    <n v="12571"/>
    <n v="20774"/>
    <n v="62855"/>
    <n v="103870"/>
    <n v="41015"/>
  </r>
  <r>
    <s v="ORD-1498"/>
    <x v="497"/>
    <x v="2"/>
    <x v="4"/>
    <x v="0"/>
    <x v="3"/>
    <n v="7"/>
    <n v="11880"/>
    <n v="12597"/>
    <n v="83160"/>
    <n v="88179"/>
    <n v="5019"/>
  </r>
  <r>
    <s v="ORD-1499"/>
    <x v="498"/>
    <x v="3"/>
    <x v="3"/>
    <x v="0"/>
    <x v="4"/>
    <n v="4"/>
    <n v="14808"/>
    <n v="23237"/>
    <n v="59232"/>
    <n v="92948"/>
    <n v="33716"/>
  </r>
  <r>
    <s v="ORD-1500"/>
    <x v="499"/>
    <x v="1"/>
    <x v="1"/>
    <x v="1"/>
    <x v="2"/>
    <n v="9"/>
    <n v="14728"/>
    <n v="19569"/>
    <n v="132552"/>
    <n v="176121"/>
    <n v="43569"/>
  </r>
  <r>
    <s v="ORD-1501"/>
    <x v="500"/>
    <x v="0"/>
    <x v="1"/>
    <x v="0"/>
    <x v="0"/>
    <n v="10"/>
    <n v="21577"/>
    <n v="24858"/>
    <n v="215770"/>
    <n v="248580"/>
    <n v="32810"/>
  </r>
  <r>
    <s v="ORD-1502"/>
    <x v="501"/>
    <x v="0"/>
    <x v="0"/>
    <x v="1"/>
    <x v="1"/>
    <n v="1"/>
    <n v="20680"/>
    <n v="24395"/>
    <n v="20680"/>
    <n v="24395"/>
    <n v="3715"/>
  </r>
  <r>
    <s v="ORD-1503"/>
    <x v="502"/>
    <x v="0"/>
    <x v="0"/>
    <x v="0"/>
    <x v="3"/>
    <n v="4"/>
    <n v="2704"/>
    <n v="3473"/>
    <n v="10816"/>
    <n v="13892"/>
    <n v="3076"/>
  </r>
  <r>
    <s v="ORD-1504"/>
    <x v="503"/>
    <x v="0"/>
    <x v="0"/>
    <x v="0"/>
    <x v="0"/>
    <n v="4"/>
    <n v="6904"/>
    <n v="9856"/>
    <n v="27616"/>
    <n v="39424"/>
    <n v="11808"/>
  </r>
  <r>
    <s v="ORD-1505"/>
    <x v="504"/>
    <x v="1"/>
    <x v="1"/>
    <x v="0"/>
    <x v="0"/>
    <n v="6"/>
    <n v="30008"/>
    <n v="35165"/>
    <n v="180048"/>
    <n v="210990"/>
    <n v="30942"/>
  </r>
  <r>
    <s v="ORD-1506"/>
    <x v="505"/>
    <x v="1"/>
    <x v="1"/>
    <x v="1"/>
    <x v="1"/>
    <n v="1"/>
    <n v="17893"/>
    <n v="20233"/>
    <n v="17893"/>
    <n v="20233"/>
    <n v="2340"/>
  </r>
  <r>
    <s v="ORD-1507"/>
    <x v="506"/>
    <x v="0"/>
    <x v="2"/>
    <x v="1"/>
    <x v="2"/>
    <n v="1"/>
    <n v="39831"/>
    <n v="40281"/>
    <n v="39831"/>
    <n v="40281"/>
    <n v="450"/>
  </r>
  <r>
    <s v="ORD-1508"/>
    <x v="507"/>
    <x v="2"/>
    <x v="0"/>
    <x v="0"/>
    <x v="3"/>
    <n v="9"/>
    <n v="12809"/>
    <n v="14722"/>
    <n v="115281"/>
    <n v="132498"/>
    <n v="17217"/>
  </r>
  <r>
    <s v="ORD-1509"/>
    <x v="508"/>
    <x v="1"/>
    <x v="0"/>
    <x v="0"/>
    <x v="4"/>
    <n v="3"/>
    <n v="27763"/>
    <n v="31969"/>
    <n v="83289"/>
    <n v="95907"/>
    <n v="12618"/>
  </r>
  <r>
    <s v="ORD-1510"/>
    <x v="509"/>
    <x v="2"/>
    <x v="3"/>
    <x v="0"/>
    <x v="0"/>
    <n v="7"/>
    <n v="28576"/>
    <n v="33522"/>
    <n v="200032"/>
    <n v="234654"/>
    <n v="34622"/>
  </r>
  <r>
    <s v="ORD-1511"/>
    <x v="510"/>
    <x v="3"/>
    <x v="1"/>
    <x v="0"/>
    <x v="4"/>
    <n v="2"/>
    <n v="1097"/>
    <n v="1409"/>
    <n v="2194"/>
    <n v="2818"/>
    <n v="624"/>
  </r>
  <r>
    <s v="ORD-1512"/>
    <x v="511"/>
    <x v="0"/>
    <x v="0"/>
    <x v="0"/>
    <x v="3"/>
    <n v="2"/>
    <n v="2084"/>
    <n v="6054"/>
    <n v="4168"/>
    <n v="12108"/>
    <n v="7940"/>
  </r>
  <r>
    <s v="ORD-1513"/>
    <x v="512"/>
    <x v="3"/>
    <x v="1"/>
    <x v="1"/>
    <x v="1"/>
    <n v="7"/>
    <n v="28168"/>
    <n v="35566"/>
    <n v="197176"/>
    <n v="248962"/>
    <n v="51786"/>
  </r>
  <r>
    <s v="ORD-1514"/>
    <x v="513"/>
    <x v="0"/>
    <x v="1"/>
    <x v="0"/>
    <x v="3"/>
    <n v="6"/>
    <n v="26880"/>
    <n v="27786"/>
    <n v="161280"/>
    <n v="166716"/>
    <n v="5436"/>
  </r>
  <r>
    <s v="ORD-1515"/>
    <x v="514"/>
    <x v="3"/>
    <x v="3"/>
    <x v="1"/>
    <x v="2"/>
    <n v="6"/>
    <n v="19539"/>
    <n v="25185"/>
    <n v="117234"/>
    <n v="151110"/>
    <n v="33876"/>
  </r>
  <r>
    <s v="ORD-1516"/>
    <x v="515"/>
    <x v="1"/>
    <x v="1"/>
    <x v="1"/>
    <x v="2"/>
    <n v="7"/>
    <n v="14245"/>
    <n v="23063"/>
    <n v="99715"/>
    <n v="161441"/>
    <n v="61726"/>
  </r>
  <r>
    <s v="ORD-1517"/>
    <x v="516"/>
    <x v="0"/>
    <x v="2"/>
    <x v="0"/>
    <x v="4"/>
    <n v="8"/>
    <n v="23772"/>
    <n v="30025"/>
    <n v="190176"/>
    <n v="240200"/>
    <n v="50024"/>
  </r>
  <r>
    <s v="ORD-1518"/>
    <x v="517"/>
    <x v="0"/>
    <x v="4"/>
    <x v="0"/>
    <x v="0"/>
    <n v="8"/>
    <n v="31735"/>
    <n v="38965"/>
    <n v="253880"/>
    <n v="311720"/>
    <n v="57840"/>
  </r>
  <r>
    <s v="ORD-1519"/>
    <x v="518"/>
    <x v="0"/>
    <x v="3"/>
    <x v="1"/>
    <x v="1"/>
    <n v="8"/>
    <n v="18190"/>
    <n v="27524"/>
    <n v="145520"/>
    <n v="220192"/>
    <n v="74672"/>
  </r>
  <r>
    <s v="ORD-1520"/>
    <x v="519"/>
    <x v="2"/>
    <x v="3"/>
    <x v="1"/>
    <x v="5"/>
    <n v="8"/>
    <n v="23890"/>
    <n v="25127"/>
    <n v="191120"/>
    <n v="201016"/>
    <n v="9896"/>
  </r>
  <r>
    <s v="ORD-1521"/>
    <x v="520"/>
    <x v="1"/>
    <x v="2"/>
    <x v="0"/>
    <x v="0"/>
    <n v="2"/>
    <n v="21937"/>
    <n v="27167"/>
    <n v="43874"/>
    <n v="54334"/>
    <n v="10460"/>
  </r>
  <r>
    <s v="ORD-1522"/>
    <x v="521"/>
    <x v="2"/>
    <x v="4"/>
    <x v="1"/>
    <x v="2"/>
    <n v="6"/>
    <n v="10480"/>
    <n v="14377"/>
    <n v="62880"/>
    <n v="86262"/>
    <n v="23382"/>
  </r>
  <r>
    <s v="ORD-1523"/>
    <x v="522"/>
    <x v="0"/>
    <x v="0"/>
    <x v="1"/>
    <x v="5"/>
    <n v="5"/>
    <n v="33063"/>
    <n v="34834"/>
    <n v="165315"/>
    <n v="174170"/>
    <n v="8855"/>
  </r>
  <r>
    <s v="ORD-1524"/>
    <x v="523"/>
    <x v="2"/>
    <x v="5"/>
    <x v="1"/>
    <x v="2"/>
    <n v="8"/>
    <n v="24874"/>
    <n v="34652"/>
    <n v="198992"/>
    <n v="277216"/>
    <n v="78224"/>
  </r>
  <r>
    <s v="ORD-1525"/>
    <x v="524"/>
    <x v="1"/>
    <x v="4"/>
    <x v="1"/>
    <x v="1"/>
    <n v="5"/>
    <n v="38985"/>
    <n v="46351"/>
    <n v="194925"/>
    <n v="231755"/>
    <n v="36830"/>
  </r>
  <r>
    <s v="ORD-1526"/>
    <x v="525"/>
    <x v="0"/>
    <x v="2"/>
    <x v="1"/>
    <x v="1"/>
    <n v="3"/>
    <n v="11093"/>
    <n v="19996"/>
    <n v="33279"/>
    <n v="59988"/>
    <n v="26709"/>
  </r>
  <r>
    <s v="ORD-1527"/>
    <x v="526"/>
    <x v="0"/>
    <x v="2"/>
    <x v="1"/>
    <x v="1"/>
    <n v="4"/>
    <n v="10479"/>
    <n v="14923"/>
    <n v="41916"/>
    <n v="59692"/>
    <n v="17776"/>
  </r>
  <r>
    <s v="ORD-1528"/>
    <x v="527"/>
    <x v="0"/>
    <x v="5"/>
    <x v="0"/>
    <x v="4"/>
    <n v="5"/>
    <n v="28226"/>
    <n v="32321"/>
    <n v="141130"/>
    <n v="161605"/>
    <n v="20475"/>
  </r>
  <r>
    <s v="ORD-1529"/>
    <x v="528"/>
    <x v="3"/>
    <x v="0"/>
    <x v="1"/>
    <x v="2"/>
    <n v="1"/>
    <n v="24323"/>
    <n v="25653"/>
    <n v="24323"/>
    <n v="25653"/>
    <n v="1330"/>
  </r>
  <r>
    <s v="ORD-1530"/>
    <x v="529"/>
    <x v="3"/>
    <x v="0"/>
    <x v="0"/>
    <x v="3"/>
    <n v="8"/>
    <n v="21117"/>
    <n v="23532"/>
    <n v="168936"/>
    <n v="188256"/>
    <n v="19320"/>
  </r>
  <r>
    <s v="ORD-1531"/>
    <x v="530"/>
    <x v="3"/>
    <x v="2"/>
    <x v="1"/>
    <x v="1"/>
    <n v="7"/>
    <n v="30286"/>
    <n v="39023"/>
    <n v="212002"/>
    <n v="273161"/>
    <n v="61159"/>
  </r>
  <r>
    <s v="ORD-1532"/>
    <x v="531"/>
    <x v="1"/>
    <x v="4"/>
    <x v="1"/>
    <x v="1"/>
    <n v="7"/>
    <n v="4617"/>
    <n v="5987"/>
    <n v="32319"/>
    <n v="41909"/>
    <n v="9590"/>
  </r>
  <r>
    <s v="ORD-1533"/>
    <x v="532"/>
    <x v="3"/>
    <x v="3"/>
    <x v="1"/>
    <x v="2"/>
    <n v="9"/>
    <n v="35378"/>
    <n v="44624"/>
    <n v="318402"/>
    <n v="401616"/>
    <n v="83214"/>
  </r>
  <r>
    <s v="ORD-1534"/>
    <x v="533"/>
    <x v="0"/>
    <x v="1"/>
    <x v="0"/>
    <x v="3"/>
    <n v="8"/>
    <n v="15904"/>
    <n v="23786"/>
    <n v="127232"/>
    <n v="190288"/>
    <n v="63056"/>
  </r>
  <r>
    <s v="ORD-1535"/>
    <x v="534"/>
    <x v="2"/>
    <x v="5"/>
    <x v="1"/>
    <x v="1"/>
    <n v="6"/>
    <n v="36821"/>
    <n v="39737"/>
    <n v="220926"/>
    <n v="238422"/>
    <n v="17496"/>
  </r>
  <r>
    <s v="ORD-1536"/>
    <x v="535"/>
    <x v="0"/>
    <x v="4"/>
    <x v="0"/>
    <x v="0"/>
    <n v="3"/>
    <n v="15097"/>
    <n v="20532"/>
    <n v="45291"/>
    <n v="61596"/>
    <n v="16305"/>
  </r>
  <r>
    <s v="ORD-1537"/>
    <x v="536"/>
    <x v="3"/>
    <x v="2"/>
    <x v="0"/>
    <x v="0"/>
    <n v="2"/>
    <n v="28470"/>
    <n v="37949"/>
    <n v="56940"/>
    <n v="75898"/>
    <n v="18958"/>
  </r>
  <r>
    <s v="ORD-1538"/>
    <x v="537"/>
    <x v="3"/>
    <x v="5"/>
    <x v="1"/>
    <x v="5"/>
    <n v="8"/>
    <n v="21802"/>
    <n v="30637"/>
    <n v="174416"/>
    <n v="245096"/>
    <n v="70680"/>
  </r>
  <r>
    <s v="ORD-1539"/>
    <x v="538"/>
    <x v="1"/>
    <x v="0"/>
    <x v="1"/>
    <x v="5"/>
    <n v="7"/>
    <n v="35142"/>
    <n v="36525"/>
    <n v="245994"/>
    <n v="255675"/>
    <n v="9681"/>
  </r>
  <r>
    <s v="ORD-1540"/>
    <x v="539"/>
    <x v="1"/>
    <x v="0"/>
    <x v="1"/>
    <x v="1"/>
    <n v="10"/>
    <n v="25458"/>
    <n v="26741"/>
    <n v="254580"/>
    <n v="267410"/>
    <n v="12830"/>
  </r>
  <r>
    <s v="ORD-1541"/>
    <x v="540"/>
    <x v="3"/>
    <x v="4"/>
    <x v="0"/>
    <x v="0"/>
    <n v="1"/>
    <n v="34051"/>
    <n v="34743"/>
    <n v="34051"/>
    <n v="34743"/>
    <n v="692"/>
  </r>
  <r>
    <s v="ORD-1542"/>
    <x v="541"/>
    <x v="3"/>
    <x v="2"/>
    <x v="0"/>
    <x v="0"/>
    <n v="1"/>
    <n v="11366"/>
    <n v="13407"/>
    <n v="11366"/>
    <n v="13407"/>
    <n v="2041"/>
  </r>
  <r>
    <s v="ORD-1543"/>
    <x v="542"/>
    <x v="1"/>
    <x v="0"/>
    <x v="1"/>
    <x v="2"/>
    <n v="7"/>
    <n v="13921"/>
    <n v="14739"/>
    <n v="97447"/>
    <n v="103173"/>
    <n v="5726"/>
  </r>
  <r>
    <s v="ORD-1544"/>
    <x v="543"/>
    <x v="3"/>
    <x v="3"/>
    <x v="0"/>
    <x v="4"/>
    <n v="10"/>
    <n v="9265"/>
    <n v="16340"/>
    <n v="92650"/>
    <n v="163400"/>
    <n v="70750"/>
  </r>
  <r>
    <s v="ORD-1545"/>
    <x v="544"/>
    <x v="1"/>
    <x v="0"/>
    <x v="1"/>
    <x v="5"/>
    <n v="2"/>
    <n v="26990"/>
    <n v="33262"/>
    <n v="53980"/>
    <n v="66524"/>
    <n v="12544"/>
  </r>
  <r>
    <s v="ORD-1546"/>
    <x v="545"/>
    <x v="3"/>
    <x v="1"/>
    <x v="0"/>
    <x v="3"/>
    <n v="2"/>
    <n v="22904"/>
    <n v="31832"/>
    <n v="45808"/>
    <n v="63664"/>
    <n v="17856"/>
  </r>
  <r>
    <s v="ORD-1547"/>
    <x v="546"/>
    <x v="2"/>
    <x v="3"/>
    <x v="0"/>
    <x v="0"/>
    <n v="2"/>
    <n v="10200"/>
    <n v="19241"/>
    <n v="20400"/>
    <n v="38482"/>
    <n v="18082"/>
  </r>
  <r>
    <s v="ORD-1548"/>
    <x v="547"/>
    <x v="2"/>
    <x v="5"/>
    <x v="0"/>
    <x v="3"/>
    <n v="3"/>
    <n v="18600"/>
    <n v="24967"/>
    <n v="55800"/>
    <n v="74901"/>
    <n v="19101"/>
  </r>
  <r>
    <s v="ORD-1549"/>
    <x v="548"/>
    <x v="2"/>
    <x v="1"/>
    <x v="1"/>
    <x v="5"/>
    <n v="4"/>
    <n v="39975"/>
    <n v="43568"/>
    <n v="159900"/>
    <n v="174272"/>
    <n v="14372"/>
  </r>
  <r>
    <s v="ORD-1550"/>
    <x v="549"/>
    <x v="1"/>
    <x v="5"/>
    <x v="1"/>
    <x v="1"/>
    <n v="3"/>
    <n v="17392"/>
    <n v="22142"/>
    <n v="52176"/>
    <n v="66426"/>
    <n v="14250"/>
  </r>
  <r>
    <s v="ORD-1551"/>
    <x v="550"/>
    <x v="0"/>
    <x v="0"/>
    <x v="1"/>
    <x v="5"/>
    <n v="6"/>
    <n v="14288"/>
    <n v="23843"/>
    <n v="85728"/>
    <n v="143058"/>
    <n v="57330"/>
  </r>
  <r>
    <s v="ORD-1552"/>
    <x v="551"/>
    <x v="1"/>
    <x v="0"/>
    <x v="0"/>
    <x v="0"/>
    <n v="8"/>
    <n v="7081"/>
    <n v="12601"/>
    <n v="56648"/>
    <n v="100808"/>
    <n v="44160"/>
  </r>
  <r>
    <s v="ORD-1553"/>
    <x v="552"/>
    <x v="0"/>
    <x v="2"/>
    <x v="1"/>
    <x v="1"/>
    <n v="2"/>
    <n v="11952"/>
    <n v="20595"/>
    <n v="23904"/>
    <n v="41190"/>
    <n v="17286"/>
  </r>
  <r>
    <s v="ORD-1554"/>
    <x v="553"/>
    <x v="1"/>
    <x v="4"/>
    <x v="1"/>
    <x v="5"/>
    <n v="4"/>
    <n v="19410"/>
    <n v="20626"/>
    <n v="77640"/>
    <n v="82504"/>
    <n v="4864"/>
  </r>
  <r>
    <s v="ORD-1555"/>
    <x v="554"/>
    <x v="0"/>
    <x v="3"/>
    <x v="0"/>
    <x v="3"/>
    <n v="3"/>
    <n v="29187"/>
    <n v="32082"/>
    <n v="87561"/>
    <n v="96246"/>
    <n v="8685"/>
  </r>
  <r>
    <s v="ORD-1556"/>
    <x v="555"/>
    <x v="1"/>
    <x v="0"/>
    <x v="0"/>
    <x v="3"/>
    <n v="10"/>
    <n v="19042"/>
    <n v="21257"/>
    <n v="190420"/>
    <n v="212570"/>
    <n v="22150"/>
  </r>
  <r>
    <s v="ORD-1557"/>
    <x v="556"/>
    <x v="3"/>
    <x v="5"/>
    <x v="1"/>
    <x v="1"/>
    <n v="7"/>
    <n v="16048"/>
    <n v="16326"/>
    <n v="112336"/>
    <n v="114282"/>
    <n v="1946"/>
  </r>
  <r>
    <s v="ORD-1558"/>
    <x v="557"/>
    <x v="0"/>
    <x v="2"/>
    <x v="1"/>
    <x v="2"/>
    <n v="6"/>
    <n v="33812"/>
    <n v="43263"/>
    <n v="202872"/>
    <n v="259578"/>
    <n v="56706"/>
  </r>
  <r>
    <s v="ORD-1559"/>
    <x v="558"/>
    <x v="2"/>
    <x v="3"/>
    <x v="0"/>
    <x v="4"/>
    <n v="10"/>
    <n v="11329"/>
    <n v="11827"/>
    <n v="113290"/>
    <n v="118270"/>
    <n v="4980"/>
  </r>
  <r>
    <s v="ORD-1560"/>
    <x v="559"/>
    <x v="1"/>
    <x v="3"/>
    <x v="1"/>
    <x v="5"/>
    <n v="9"/>
    <n v="14704"/>
    <n v="21844"/>
    <n v="132336"/>
    <n v="196596"/>
    <n v="64260"/>
  </r>
  <r>
    <s v="ORD-1561"/>
    <x v="560"/>
    <x v="1"/>
    <x v="2"/>
    <x v="0"/>
    <x v="0"/>
    <n v="3"/>
    <n v="18202"/>
    <n v="22196"/>
    <n v="54606"/>
    <n v="66588"/>
    <n v="11982"/>
  </r>
  <r>
    <s v="ORD-1562"/>
    <x v="561"/>
    <x v="0"/>
    <x v="5"/>
    <x v="1"/>
    <x v="2"/>
    <n v="10"/>
    <n v="7238"/>
    <n v="9876"/>
    <n v="72380"/>
    <n v="98760"/>
    <n v="26380"/>
  </r>
  <r>
    <s v="ORD-1563"/>
    <x v="562"/>
    <x v="1"/>
    <x v="1"/>
    <x v="0"/>
    <x v="4"/>
    <n v="4"/>
    <n v="27876"/>
    <n v="34141"/>
    <n v="111504"/>
    <n v="136564"/>
    <n v="25060"/>
  </r>
  <r>
    <s v="ORD-1564"/>
    <x v="563"/>
    <x v="3"/>
    <x v="3"/>
    <x v="0"/>
    <x v="0"/>
    <n v="3"/>
    <n v="36655"/>
    <n v="37015"/>
    <n v="109965"/>
    <n v="111045"/>
    <n v="1080"/>
  </r>
  <r>
    <s v="ORD-1565"/>
    <x v="564"/>
    <x v="1"/>
    <x v="4"/>
    <x v="0"/>
    <x v="4"/>
    <n v="5"/>
    <n v="21165"/>
    <n v="22995"/>
    <n v="105825"/>
    <n v="114975"/>
    <n v="9150"/>
  </r>
  <r>
    <s v="ORD-1566"/>
    <x v="565"/>
    <x v="3"/>
    <x v="3"/>
    <x v="0"/>
    <x v="3"/>
    <n v="7"/>
    <n v="7948"/>
    <n v="11686"/>
    <n v="55636"/>
    <n v="81802"/>
    <n v="26166"/>
  </r>
  <r>
    <s v="ORD-1567"/>
    <x v="566"/>
    <x v="1"/>
    <x v="5"/>
    <x v="1"/>
    <x v="1"/>
    <n v="5"/>
    <n v="12571"/>
    <n v="20774"/>
    <n v="62855"/>
    <n v="103870"/>
    <n v="41015"/>
  </r>
  <r>
    <s v="ORD-1568"/>
    <x v="567"/>
    <x v="2"/>
    <x v="3"/>
    <x v="0"/>
    <x v="0"/>
    <n v="7"/>
    <n v="28576"/>
    <n v="33522"/>
    <n v="200032"/>
    <n v="234654"/>
    <n v="34622"/>
  </r>
  <r>
    <s v="ORD-1569"/>
    <x v="568"/>
    <x v="0"/>
    <x v="0"/>
    <x v="1"/>
    <x v="5"/>
    <n v="3"/>
    <n v="37438"/>
    <n v="40026"/>
    <n v="112314"/>
    <n v="120078"/>
    <n v="7764"/>
  </r>
  <r>
    <s v="ORD-1570"/>
    <x v="569"/>
    <x v="1"/>
    <x v="0"/>
    <x v="0"/>
    <x v="0"/>
    <n v="5"/>
    <n v="26503"/>
    <n v="35002"/>
    <n v="132515"/>
    <n v="175010"/>
    <n v="42495"/>
  </r>
  <r>
    <s v="ORD-1571"/>
    <x v="570"/>
    <x v="0"/>
    <x v="3"/>
    <x v="1"/>
    <x v="2"/>
    <n v="5"/>
    <n v="29345"/>
    <n v="37658"/>
    <n v="146725"/>
    <n v="188290"/>
    <n v="41565"/>
  </r>
  <r>
    <s v="ORD-1572"/>
    <x v="571"/>
    <x v="3"/>
    <x v="1"/>
    <x v="0"/>
    <x v="3"/>
    <n v="8"/>
    <n v="35019"/>
    <n v="39344"/>
    <n v="280152"/>
    <n v="314752"/>
    <n v="34600"/>
  </r>
  <r>
    <s v="ORD-1573"/>
    <x v="572"/>
    <x v="3"/>
    <x v="5"/>
    <x v="1"/>
    <x v="5"/>
    <n v="8"/>
    <n v="2405"/>
    <n v="7433"/>
    <n v="19240"/>
    <n v="59464"/>
    <n v="40224"/>
  </r>
  <r>
    <s v="ORD-1574"/>
    <x v="573"/>
    <x v="0"/>
    <x v="4"/>
    <x v="0"/>
    <x v="3"/>
    <n v="3"/>
    <n v="23931"/>
    <n v="25959"/>
    <n v="71793"/>
    <n v="77877"/>
    <n v="6084"/>
  </r>
  <r>
    <s v="ORD-1575"/>
    <x v="574"/>
    <x v="2"/>
    <x v="5"/>
    <x v="1"/>
    <x v="5"/>
    <n v="9"/>
    <n v="2427"/>
    <n v="2858"/>
    <n v="21843"/>
    <n v="25722"/>
    <n v="3879"/>
  </r>
  <r>
    <s v="ORD-1576"/>
    <x v="575"/>
    <x v="3"/>
    <x v="4"/>
    <x v="1"/>
    <x v="2"/>
    <n v="7"/>
    <n v="11433"/>
    <n v="16098"/>
    <n v="80031"/>
    <n v="112686"/>
    <n v="32655"/>
  </r>
  <r>
    <s v="ORD-1577"/>
    <x v="576"/>
    <x v="2"/>
    <x v="5"/>
    <x v="1"/>
    <x v="1"/>
    <n v="3"/>
    <n v="8943"/>
    <n v="16412"/>
    <n v="26829"/>
    <n v="49236"/>
    <n v="22407"/>
  </r>
  <r>
    <s v="ORD-1578"/>
    <x v="577"/>
    <x v="1"/>
    <x v="1"/>
    <x v="0"/>
    <x v="4"/>
    <n v="6"/>
    <n v="9032"/>
    <n v="10792"/>
    <n v="54192"/>
    <n v="64752"/>
    <n v="10560"/>
  </r>
  <r>
    <s v="ORD-1579"/>
    <x v="578"/>
    <x v="0"/>
    <x v="1"/>
    <x v="0"/>
    <x v="4"/>
    <n v="7"/>
    <n v="39346"/>
    <n v="46565"/>
    <n v="275422"/>
    <n v="325955"/>
    <n v="50533"/>
  </r>
  <r>
    <s v="ORD-1580"/>
    <x v="579"/>
    <x v="2"/>
    <x v="3"/>
    <x v="1"/>
    <x v="5"/>
    <n v="4"/>
    <n v="39425"/>
    <n v="41215"/>
    <n v="157700"/>
    <n v="164860"/>
    <n v="7160"/>
  </r>
  <r>
    <s v="ORD-1581"/>
    <x v="580"/>
    <x v="0"/>
    <x v="1"/>
    <x v="1"/>
    <x v="5"/>
    <n v="6"/>
    <n v="9908"/>
    <n v="11450"/>
    <n v="59448"/>
    <n v="68700"/>
    <n v="9252"/>
  </r>
  <r>
    <s v="ORD-1582"/>
    <x v="581"/>
    <x v="2"/>
    <x v="5"/>
    <x v="0"/>
    <x v="0"/>
    <n v="5"/>
    <n v="16475"/>
    <n v="24802"/>
    <n v="82375"/>
    <n v="124010"/>
    <n v="41635"/>
  </r>
  <r>
    <s v="ORD-1583"/>
    <x v="582"/>
    <x v="0"/>
    <x v="2"/>
    <x v="1"/>
    <x v="5"/>
    <n v="9"/>
    <n v="6368"/>
    <n v="13954"/>
    <n v="57312"/>
    <n v="125586"/>
    <n v="68274"/>
  </r>
  <r>
    <s v="ORD-1584"/>
    <x v="583"/>
    <x v="3"/>
    <x v="1"/>
    <x v="1"/>
    <x v="2"/>
    <n v="5"/>
    <n v="26203"/>
    <n v="32651"/>
    <n v="131015"/>
    <n v="163255"/>
    <n v="32240"/>
  </r>
  <r>
    <s v="ORD-1585"/>
    <x v="584"/>
    <x v="0"/>
    <x v="2"/>
    <x v="1"/>
    <x v="1"/>
    <n v="10"/>
    <n v="15749"/>
    <n v="24248"/>
    <n v="157490"/>
    <n v="242480"/>
    <n v="84990"/>
  </r>
  <r>
    <s v="ORD-1586"/>
    <x v="585"/>
    <x v="3"/>
    <x v="5"/>
    <x v="1"/>
    <x v="2"/>
    <n v="6"/>
    <n v="28614"/>
    <n v="34277"/>
    <n v="171684"/>
    <n v="205662"/>
    <n v="33978"/>
  </r>
  <r>
    <s v="ORD-1587"/>
    <x v="586"/>
    <x v="2"/>
    <x v="3"/>
    <x v="1"/>
    <x v="5"/>
    <n v="1"/>
    <n v="26860"/>
    <n v="34641"/>
    <n v="26860"/>
    <n v="34641"/>
    <n v="7781"/>
  </r>
  <r>
    <s v="ORD-1588"/>
    <x v="587"/>
    <x v="3"/>
    <x v="4"/>
    <x v="0"/>
    <x v="4"/>
    <n v="8"/>
    <n v="32624"/>
    <n v="40754"/>
    <n v="260992"/>
    <n v="326032"/>
    <n v="65040"/>
  </r>
  <r>
    <s v="ORD-1589"/>
    <x v="588"/>
    <x v="0"/>
    <x v="3"/>
    <x v="1"/>
    <x v="1"/>
    <n v="6"/>
    <n v="10307"/>
    <n v="14915"/>
    <n v="61842"/>
    <n v="89490"/>
    <n v="27648"/>
  </r>
  <r>
    <s v="ORD-1590"/>
    <x v="589"/>
    <x v="2"/>
    <x v="3"/>
    <x v="0"/>
    <x v="0"/>
    <n v="1"/>
    <n v="9932"/>
    <n v="16330"/>
    <n v="9932"/>
    <n v="16330"/>
    <n v="6398"/>
  </r>
  <r>
    <s v="ORD-1591"/>
    <x v="590"/>
    <x v="1"/>
    <x v="5"/>
    <x v="0"/>
    <x v="0"/>
    <n v="9"/>
    <n v="5092"/>
    <n v="14487"/>
    <n v="45828"/>
    <n v="130383"/>
    <n v="84555"/>
  </r>
  <r>
    <s v="ORD-1592"/>
    <x v="591"/>
    <x v="3"/>
    <x v="3"/>
    <x v="0"/>
    <x v="3"/>
    <n v="6"/>
    <n v="39336"/>
    <n v="41136"/>
    <n v="236016"/>
    <n v="246816"/>
    <n v="10800"/>
  </r>
  <r>
    <s v="ORD-1593"/>
    <x v="592"/>
    <x v="2"/>
    <x v="2"/>
    <x v="1"/>
    <x v="5"/>
    <n v="2"/>
    <n v="21418"/>
    <n v="29524"/>
    <n v="42836"/>
    <n v="59048"/>
    <n v="16212"/>
  </r>
  <r>
    <s v="ORD-1594"/>
    <x v="593"/>
    <x v="1"/>
    <x v="1"/>
    <x v="0"/>
    <x v="0"/>
    <n v="3"/>
    <n v="15055"/>
    <n v="21282"/>
    <n v="45165"/>
    <n v="63846"/>
    <n v="18681"/>
  </r>
  <r>
    <s v="ORD-1595"/>
    <x v="594"/>
    <x v="3"/>
    <x v="1"/>
    <x v="0"/>
    <x v="4"/>
    <n v="4"/>
    <n v="31222"/>
    <n v="35326"/>
    <n v="124888"/>
    <n v="141304"/>
    <n v="16416"/>
  </r>
  <r>
    <s v="ORD-1596"/>
    <x v="595"/>
    <x v="0"/>
    <x v="0"/>
    <x v="1"/>
    <x v="5"/>
    <n v="9"/>
    <n v="36428"/>
    <n v="44213"/>
    <n v="327852"/>
    <n v="397917"/>
    <n v="70065"/>
  </r>
  <r>
    <s v="ORD-1597"/>
    <x v="596"/>
    <x v="2"/>
    <x v="0"/>
    <x v="0"/>
    <x v="0"/>
    <n v="7"/>
    <n v="28791"/>
    <n v="36340"/>
    <n v="201537"/>
    <n v="254380"/>
    <n v="52843"/>
  </r>
  <r>
    <s v="ORD-1598"/>
    <x v="597"/>
    <x v="2"/>
    <x v="5"/>
    <x v="0"/>
    <x v="3"/>
    <n v="1"/>
    <n v="23560"/>
    <n v="24203"/>
    <n v="23560"/>
    <n v="24203"/>
    <n v="643"/>
  </r>
  <r>
    <s v="ORD-1599"/>
    <x v="598"/>
    <x v="3"/>
    <x v="4"/>
    <x v="0"/>
    <x v="4"/>
    <n v="1"/>
    <n v="25737"/>
    <n v="31346"/>
    <n v="25737"/>
    <n v="31346"/>
    <n v="5609"/>
  </r>
  <r>
    <s v="ORD-1600"/>
    <x v="599"/>
    <x v="2"/>
    <x v="1"/>
    <x v="1"/>
    <x v="1"/>
    <n v="1"/>
    <n v="13415"/>
    <n v="19241"/>
    <n v="13415"/>
    <n v="19241"/>
    <n v="5826"/>
  </r>
  <r>
    <s v="ORD-1601"/>
    <x v="600"/>
    <x v="1"/>
    <x v="1"/>
    <x v="0"/>
    <x v="0"/>
    <n v="2"/>
    <n v="17704"/>
    <n v="25263"/>
    <n v="35408"/>
    <n v="50526"/>
    <n v="15118"/>
  </r>
  <r>
    <s v="ORD-1602"/>
    <x v="601"/>
    <x v="3"/>
    <x v="5"/>
    <x v="1"/>
    <x v="5"/>
    <n v="1"/>
    <n v="17561"/>
    <n v="24203"/>
    <n v="17561"/>
    <n v="24203"/>
    <n v="6642"/>
  </r>
  <r>
    <s v="ORD-1603"/>
    <x v="602"/>
    <x v="0"/>
    <x v="5"/>
    <x v="1"/>
    <x v="2"/>
    <n v="10"/>
    <n v="26390"/>
    <n v="35766"/>
    <n v="263900"/>
    <n v="357660"/>
    <n v="93760"/>
  </r>
  <r>
    <s v="ORD-1604"/>
    <x v="603"/>
    <x v="1"/>
    <x v="2"/>
    <x v="1"/>
    <x v="1"/>
    <n v="1"/>
    <n v="14303"/>
    <n v="21925"/>
    <n v="14303"/>
    <n v="21925"/>
    <n v="7622"/>
  </r>
  <r>
    <s v="ORD-1605"/>
    <x v="604"/>
    <x v="1"/>
    <x v="5"/>
    <x v="1"/>
    <x v="2"/>
    <n v="1"/>
    <n v="20070"/>
    <n v="21257"/>
    <n v="20070"/>
    <n v="21257"/>
    <n v="1187"/>
  </r>
  <r>
    <s v="ORD-1606"/>
    <x v="605"/>
    <x v="0"/>
    <x v="3"/>
    <x v="0"/>
    <x v="3"/>
    <n v="3"/>
    <n v="14529"/>
    <n v="16875"/>
    <n v="43587"/>
    <n v="50625"/>
    <n v="7038"/>
  </r>
  <r>
    <s v="ORD-1607"/>
    <x v="606"/>
    <x v="1"/>
    <x v="1"/>
    <x v="1"/>
    <x v="2"/>
    <n v="5"/>
    <n v="36282"/>
    <n v="41513"/>
    <n v="181410"/>
    <n v="207565"/>
    <n v="26155"/>
  </r>
  <r>
    <s v="ORD-1608"/>
    <x v="607"/>
    <x v="2"/>
    <x v="4"/>
    <x v="1"/>
    <x v="5"/>
    <n v="8"/>
    <n v="11839"/>
    <n v="13378"/>
    <n v="94712"/>
    <n v="107024"/>
    <n v="12312"/>
  </r>
  <r>
    <s v="ORD-1609"/>
    <x v="608"/>
    <x v="1"/>
    <x v="5"/>
    <x v="1"/>
    <x v="2"/>
    <n v="4"/>
    <n v="19257"/>
    <n v="20270"/>
    <n v="77028"/>
    <n v="81080"/>
    <n v="4052"/>
  </r>
  <r>
    <s v="ORD-1610"/>
    <x v="609"/>
    <x v="2"/>
    <x v="5"/>
    <x v="0"/>
    <x v="0"/>
    <n v="1"/>
    <n v="11655"/>
    <n v="17277"/>
    <n v="11655"/>
    <n v="17277"/>
    <n v="5622"/>
  </r>
  <r>
    <s v="ORD-1611"/>
    <x v="610"/>
    <x v="0"/>
    <x v="4"/>
    <x v="1"/>
    <x v="2"/>
    <n v="6"/>
    <n v="37692"/>
    <n v="44462"/>
    <n v="226152"/>
    <n v="266772"/>
    <n v="40620"/>
  </r>
  <r>
    <s v="ORD-1612"/>
    <x v="611"/>
    <x v="0"/>
    <x v="3"/>
    <x v="0"/>
    <x v="4"/>
    <n v="3"/>
    <n v="29548"/>
    <n v="31567"/>
    <n v="88644"/>
    <n v="94701"/>
    <n v="6057"/>
  </r>
  <r>
    <s v="ORD-1613"/>
    <x v="612"/>
    <x v="1"/>
    <x v="3"/>
    <x v="1"/>
    <x v="5"/>
    <n v="3"/>
    <n v="25810"/>
    <n v="35054"/>
    <n v="77430"/>
    <n v="105162"/>
    <n v="27732"/>
  </r>
  <r>
    <s v="ORD-1614"/>
    <x v="613"/>
    <x v="1"/>
    <x v="3"/>
    <x v="1"/>
    <x v="1"/>
    <n v="4"/>
    <n v="14123"/>
    <n v="19999"/>
    <n v="56492"/>
    <n v="79996"/>
    <n v="23504"/>
  </r>
  <r>
    <s v="ORD-1615"/>
    <x v="614"/>
    <x v="3"/>
    <x v="1"/>
    <x v="0"/>
    <x v="4"/>
    <n v="2"/>
    <n v="22037"/>
    <n v="26778"/>
    <n v="44074"/>
    <n v="53556"/>
    <n v="9482"/>
  </r>
  <r>
    <s v="ORD-1616"/>
    <x v="615"/>
    <x v="0"/>
    <x v="3"/>
    <x v="1"/>
    <x v="1"/>
    <n v="4"/>
    <n v="913"/>
    <n v="5545"/>
    <n v="3652"/>
    <n v="22180"/>
    <n v="18528"/>
  </r>
  <r>
    <s v="ORD-1617"/>
    <x v="616"/>
    <x v="1"/>
    <x v="0"/>
    <x v="1"/>
    <x v="5"/>
    <n v="4"/>
    <n v="38180"/>
    <n v="43378"/>
    <n v="152720"/>
    <n v="173512"/>
    <n v="20792"/>
  </r>
  <r>
    <s v="ORD-1618"/>
    <x v="617"/>
    <x v="2"/>
    <x v="1"/>
    <x v="1"/>
    <x v="2"/>
    <n v="3"/>
    <n v="18174"/>
    <n v="21380"/>
    <n v="54522"/>
    <n v="64140"/>
    <n v="9618"/>
  </r>
  <r>
    <s v="ORD-1619"/>
    <x v="618"/>
    <x v="0"/>
    <x v="5"/>
    <x v="1"/>
    <x v="1"/>
    <n v="8"/>
    <n v="29986"/>
    <n v="33360"/>
    <n v="239888"/>
    <n v="266880"/>
    <n v="26992"/>
  </r>
  <r>
    <s v="ORD-1620"/>
    <x v="619"/>
    <x v="3"/>
    <x v="3"/>
    <x v="0"/>
    <x v="4"/>
    <n v="3"/>
    <n v="10387"/>
    <n v="13664"/>
    <n v="31161"/>
    <n v="40992"/>
    <n v="9831"/>
  </r>
  <r>
    <s v="ORD-1621"/>
    <x v="620"/>
    <x v="3"/>
    <x v="3"/>
    <x v="1"/>
    <x v="2"/>
    <n v="5"/>
    <n v="20203"/>
    <n v="27971"/>
    <n v="101015"/>
    <n v="139855"/>
    <n v="38840"/>
  </r>
  <r>
    <s v="ORD-1622"/>
    <x v="621"/>
    <x v="3"/>
    <x v="5"/>
    <x v="1"/>
    <x v="2"/>
    <n v="8"/>
    <n v="7947"/>
    <n v="12937"/>
    <n v="63576"/>
    <n v="103496"/>
    <n v="39920"/>
  </r>
  <r>
    <s v="ORD-1623"/>
    <x v="622"/>
    <x v="2"/>
    <x v="5"/>
    <x v="1"/>
    <x v="1"/>
    <n v="9"/>
    <n v="2060"/>
    <n v="5382"/>
    <n v="18540"/>
    <n v="48438"/>
    <n v="29898"/>
  </r>
  <r>
    <s v="ORD-1624"/>
    <x v="623"/>
    <x v="2"/>
    <x v="2"/>
    <x v="1"/>
    <x v="2"/>
    <n v="8"/>
    <n v="6390"/>
    <n v="14530"/>
    <n v="51120"/>
    <n v="116240"/>
    <n v="65120"/>
  </r>
  <r>
    <s v="ORD-1625"/>
    <x v="624"/>
    <x v="3"/>
    <x v="0"/>
    <x v="0"/>
    <x v="3"/>
    <n v="9"/>
    <n v="38898"/>
    <n v="41255"/>
    <n v="350082"/>
    <n v="371295"/>
    <n v="21213"/>
  </r>
  <r>
    <s v="ORD-1626"/>
    <x v="625"/>
    <x v="3"/>
    <x v="5"/>
    <x v="1"/>
    <x v="2"/>
    <n v="8"/>
    <n v="25723"/>
    <n v="34669"/>
    <n v="205784"/>
    <n v="277352"/>
    <n v="71568"/>
  </r>
  <r>
    <s v="ORD-1627"/>
    <x v="626"/>
    <x v="3"/>
    <x v="1"/>
    <x v="0"/>
    <x v="3"/>
    <n v="1"/>
    <n v="6998"/>
    <n v="9331"/>
    <n v="6998"/>
    <n v="9331"/>
    <n v="2333"/>
  </r>
  <r>
    <s v="ORD-1628"/>
    <x v="627"/>
    <x v="0"/>
    <x v="3"/>
    <x v="0"/>
    <x v="0"/>
    <n v="3"/>
    <n v="5076"/>
    <n v="14959"/>
    <n v="15228"/>
    <n v="44877"/>
    <n v="29649"/>
  </r>
  <r>
    <s v="ORD-1629"/>
    <x v="628"/>
    <x v="3"/>
    <x v="5"/>
    <x v="0"/>
    <x v="4"/>
    <n v="8"/>
    <n v="2537"/>
    <n v="2939"/>
    <n v="20296"/>
    <n v="23512"/>
    <n v="3216"/>
  </r>
  <r>
    <s v="ORD-1630"/>
    <x v="629"/>
    <x v="2"/>
    <x v="4"/>
    <x v="1"/>
    <x v="1"/>
    <n v="6"/>
    <n v="31028"/>
    <n v="34895"/>
    <n v="186168"/>
    <n v="209370"/>
    <n v="23202"/>
  </r>
  <r>
    <s v="ORD-1631"/>
    <x v="630"/>
    <x v="3"/>
    <x v="0"/>
    <x v="1"/>
    <x v="1"/>
    <n v="4"/>
    <n v="2728"/>
    <n v="12579"/>
    <n v="10912"/>
    <n v="50316"/>
    <n v="39404"/>
  </r>
  <r>
    <s v="ORD-1632"/>
    <x v="631"/>
    <x v="3"/>
    <x v="2"/>
    <x v="1"/>
    <x v="2"/>
    <n v="9"/>
    <n v="30549"/>
    <n v="33539"/>
    <n v="274941"/>
    <n v="301851"/>
    <n v="26910"/>
  </r>
  <r>
    <s v="ORD-1633"/>
    <x v="632"/>
    <x v="3"/>
    <x v="5"/>
    <x v="0"/>
    <x v="3"/>
    <n v="2"/>
    <n v="34009"/>
    <n v="39010"/>
    <n v="68018"/>
    <n v="78020"/>
    <n v="10002"/>
  </r>
  <r>
    <s v="ORD-1634"/>
    <x v="633"/>
    <x v="1"/>
    <x v="2"/>
    <x v="1"/>
    <x v="5"/>
    <n v="3"/>
    <n v="30558"/>
    <n v="32438"/>
    <n v="91674"/>
    <n v="97314"/>
    <n v="5640"/>
  </r>
  <r>
    <s v="ORD-1635"/>
    <x v="634"/>
    <x v="0"/>
    <x v="4"/>
    <x v="0"/>
    <x v="0"/>
    <n v="3"/>
    <n v="35038"/>
    <n v="35770"/>
    <n v="105114"/>
    <n v="107310"/>
    <n v="2196"/>
  </r>
  <r>
    <s v="ORD-1636"/>
    <x v="635"/>
    <x v="2"/>
    <x v="3"/>
    <x v="0"/>
    <x v="0"/>
    <n v="3"/>
    <n v="24443"/>
    <n v="29661"/>
    <n v="73329"/>
    <n v="88983"/>
    <n v="15654"/>
  </r>
  <r>
    <s v="ORD-1637"/>
    <x v="636"/>
    <x v="2"/>
    <x v="2"/>
    <x v="0"/>
    <x v="3"/>
    <n v="6"/>
    <n v="12654"/>
    <n v="17365"/>
    <n v="75924"/>
    <n v="104190"/>
    <n v="28266"/>
  </r>
  <r>
    <s v="ORD-1638"/>
    <x v="637"/>
    <x v="1"/>
    <x v="3"/>
    <x v="1"/>
    <x v="5"/>
    <n v="7"/>
    <n v="30937"/>
    <n v="36858"/>
    <n v="216559"/>
    <n v="258006"/>
    <n v="41447"/>
  </r>
  <r>
    <s v="ORD-1639"/>
    <x v="638"/>
    <x v="3"/>
    <x v="1"/>
    <x v="1"/>
    <x v="1"/>
    <n v="6"/>
    <n v="39139"/>
    <n v="43375"/>
    <n v="234834"/>
    <n v="260250"/>
    <n v="25416"/>
  </r>
  <r>
    <s v="ORD-1640"/>
    <x v="639"/>
    <x v="1"/>
    <x v="2"/>
    <x v="0"/>
    <x v="4"/>
    <n v="6"/>
    <n v="29642"/>
    <n v="33246"/>
    <n v="177852"/>
    <n v="199476"/>
    <n v="21624"/>
  </r>
  <r>
    <s v="ORD-1641"/>
    <x v="640"/>
    <x v="3"/>
    <x v="3"/>
    <x v="0"/>
    <x v="0"/>
    <n v="6"/>
    <n v="20154"/>
    <n v="25640"/>
    <n v="120924"/>
    <n v="153840"/>
    <n v="32916"/>
  </r>
  <r>
    <s v="ORD-1642"/>
    <x v="641"/>
    <x v="3"/>
    <x v="1"/>
    <x v="0"/>
    <x v="0"/>
    <n v="3"/>
    <n v="18997"/>
    <n v="25919"/>
    <n v="56991"/>
    <n v="77757"/>
    <n v="20766"/>
  </r>
  <r>
    <s v="ORD-1643"/>
    <x v="642"/>
    <x v="1"/>
    <x v="2"/>
    <x v="0"/>
    <x v="4"/>
    <n v="5"/>
    <n v="4736"/>
    <n v="5968"/>
    <n v="23680"/>
    <n v="29840"/>
    <n v="6160"/>
  </r>
  <r>
    <s v="ORD-1644"/>
    <x v="643"/>
    <x v="2"/>
    <x v="5"/>
    <x v="1"/>
    <x v="2"/>
    <n v="7"/>
    <n v="4073"/>
    <n v="10914"/>
    <n v="28511"/>
    <n v="76398"/>
    <n v="47887"/>
  </r>
  <r>
    <s v="ORD-1645"/>
    <x v="644"/>
    <x v="1"/>
    <x v="0"/>
    <x v="0"/>
    <x v="4"/>
    <n v="9"/>
    <n v="33144"/>
    <n v="37652"/>
    <n v="298296"/>
    <n v="338868"/>
    <n v="40572"/>
  </r>
  <r>
    <s v="ORD-1646"/>
    <x v="645"/>
    <x v="3"/>
    <x v="5"/>
    <x v="0"/>
    <x v="0"/>
    <n v="9"/>
    <n v="36576"/>
    <n v="44663"/>
    <n v="329184"/>
    <n v="401967"/>
    <n v="72783"/>
  </r>
  <r>
    <s v="ORD-1647"/>
    <x v="646"/>
    <x v="0"/>
    <x v="2"/>
    <x v="1"/>
    <x v="1"/>
    <n v="6"/>
    <n v="19606"/>
    <n v="23656"/>
    <n v="117636"/>
    <n v="141936"/>
    <n v="24300"/>
  </r>
  <r>
    <s v="ORD-1648"/>
    <x v="647"/>
    <x v="1"/>
    <x v="1"/>
    <x v="0"/>
    <x v="4"/>
    <n v="7"/>
    <n v="17351"/>
    <n v="17789"/>
    <n v="121457"/>
    <n v="124523"/>
    <n v="3066"/>
  </r>
  <r>
    <s v="ORD-1649"/>
    <x v="648"/>
    <x v="2"/>
    <x v="5"/>
    <x v="1"/>
    <x v="1"/>
    <n v="8"/>
    <n v="28386"/>
    <n v="36029"/>
    <n v="227088"/>
    <n v="288232"/>
    <n v="61144"/>
  </r>
  <r>
    <s v="ORD-1650"/>
    <x v="649"/>
    <x v="0"/>
    <x v="4"/>
    <x v="1"/>
    <x v="1"/>
    <n v="5"/>
    <n v="30737"/>
    <n v="39639"/>
    <n v="153685"/>
    <n v="198195"/>
    <n v="44510"/>
  </r>
  <r>
    <s v="ORD-1651"/>
    <x v="650"/>
    <x v="3"/>
    <x v="0"/>
    <x v="0"/>
    <x v="4"/>
    <n v="9"/>
    <n v="23908"/>
    <n v="25435"/>
    <n v="215172"/>
    <n v="228915"/>
    <n v="13743"/>
  </r>
  <r>
    <s v="ORD-1652"/>
    <x v="651"/>
    <x v="1"/>
    <x v="1"/>
    <x v="1"/>
    <x v="5"/>
    <n v="6"/>
    <n v="32460"/>
    <n v="42231"/>
    <n v="194760"/>
    <n v="253386"/>
    <n v="58626"/>
  </r>
  <r>
    <s v="ORD-1653"/>
    <x v="652"/>
    <x v="2"/>
    <x v="3"/>
    <x v="0"/>
    <x v="4"/>
    <n v="7"/>
    <n v="22994"/>
    <n v="29977"/>
    <n v="160958"/>
    <n v="209839"/>
    <n v="48881"/>
  </r>
  <r>
    <s v="ORD-1654"/>
    <x v="653"/>
    <x v="1"/>
    <x v="5"/>
    <x v="0"/>
    <x v="3"/>
    <n v="1"/>
    <n v="30549"/>
    <n v="38349"/>
    <n v="30549"/>
    <n v="38349"/>
    <n v="7800"/>
  </r>
  <r>
    <s v="ORD-1655"/>
    <x v="654"/>
    <x v="2"/>
    <x v="0"/>
    <x v="0"/>
    <x v="3"/>
    <n v="6"/>
    <n v="33430"/>
    <n v="37893"/>
    <n v="200580"/>
    <n v="227358"/>
    <n v="26778"/>
  </r>
  <r>
    <s v="ORD-1656"/>
    <x v="655"/>
    <x v="0"/>
    <x v="5"/>
    <x v="1"/>
    <x v="1"/>
    <n v="5"/>
    <n v="35197"/>
    <n v="37896"/>
    <n v="175985"/>
    <n v="189480"/>
    <n v="13495"/>
  </r>
  <r>
    <s v="ORD-1657"/>
    <x v="656"/>
    <x v="3"/>
    <x v="4"/>
    <x v="1"/>
    <x v="1"/>
    <n v="1"/>
    <n v="27078"/>
    <n v="31452"/>
    <n v="27078"/>
    <n v="31452"/>
    <n v="4374"/>
  </r>
  <r>
    <s v="ORD-1658"/>
    <x v="657"/>
    <x v="1"/>
    <x v="1"/>
    <x v="0"/>
    <x v="3"/>
    <n v="5"/>
    <n v="12205"/>
    <n v="17630"/>
    <n v="61025"/>
    <n v="88150"/>
    <n v="27125"/>
  </r>
  <r>
    <s v="ORD-1659"/>
    <x v="658"/>
    <x v="0"/>
    <x v="3"/>
    <x v="1"/>
    <x v="2"/>
    <n v="4"/>
    <n v="3369"/>
    <n v="6143"/>
    <n v="13476"/>
    <n v="24572"/>
    <n v="11096"/>
  </r>
  <r>
    <s v="ORD-1660"/>
    <x v="659"/>
    <x v="1"/>
    <x v="3"/>
    <x v="1"/>
    <x v="5"/>
    <n v="1"/>
    <n v="36937"/>
    <n v="39506"/>
    <n v="36937"/>
    <n v="39506"/>
    <n v="2569"/>
  </r>
  <r>
    <s v="ORD-1661"/>
    <x v="660"/>
    <x v="2"/>
    <x v="1"/>
    <x v="1"/>
    <x v="1"/>
    <n v="8"/>
    <n v="34805"/>
    <n v="41124"/>
    <n v="278440"/>
    <n v="328992"/>
    <n v="50552"/>
  </r>
  <r>
    <s v="ORD-1662"/>
    <x v="661"/>
    <x v="3"/>
    <x v="5"/>
    <x v="0"/>
    <x v="3"/>
    <n v="1"/>
    <n v="30007"/>
    <n v="32685"/>
    <n v="30007"/>
    <n v="32685"/>
    <n v="2678"/>
  </r>
  <r>
    <s v="ORD-1663"/>
    <x v="662"/>
    <x v="1"/>
    <x v="4"/>
    <x v="1"/>
    <x v="5"/>
    <n v="4"/>
    <n v="7074"/>
    <n v="11049"/>
    <n v="28296"/>
    <n v="44196"/>
    <n v="15900"/>
  </r>
  <r>
    <s v="ORD-1664"/>
    <x v="663"/>
    <x v="1"/>
    <x v="0"/>
    <x v="0"/>
    <x v="0"/>
    <n v="8"/>
    <n v="7081"/>
    <n v="12601"/>
    <n v="56648"/>
    <n v="100808"/>
    <n v="44160"/>
  </r>
  <r>
    <s v="ORD-1665"/>
    <x v="664"/>
    <x v="0"/>
    <x v="2"/>
    <x v="1"/>
    <x v="1"/>
    <n v="2"/>
    <n v="11952"/>
    <n v="20595"/>
    <n v="23904"/>
    <n v="41190"/>
    <n v="17286"/>
  </r>
  <r>
    <s v="ORD-1666"/>
    <x v="665"/>
    <x v="1"/>
    <x v="4"/>
    <x v="1"/>
    <x v="5"/>
    <n v="4"/>
    <n v="19410"/>
    <n v="20626"/>
    <n v="77640"/>
    <n v="82504"/>
    <n v="4864"/>
  </r>
  <r>
    <s v="ORD-1667"/>
    <x v="666"/>
    <x v="0"/>
    <x v="3"/>
    <x v="0"/>
    <x v="3"/>
    <n v="3"/>
    <n v="29187"/>
    <n v="32082"/>
    <n v="87561"/>
    <n v="96246"/>
    <n v="8685"/>
  </r>
  <r>
    <s v="ORD-1668"/>
    <x v="667"/>
    <x v="1"/>
    <x v="0"/>
    <x v="0"/>
    <x v="3"/>
    <n v="10"/>
    <n v="19042"/>
    <n v="21257"/>
    <n v="190420"/>
    <n v="212570"/>
    <n v="22150"/>
  </r>
  <r>
    <s v="ORD-1669"/>
    <x v="668"/>
    <x v="3"/>
    <x v="5"/>
    <x v="1"/>
    <x v="1"/>
    <n v="7"/>
    <n v="16048"/>
    <n v="16326"/>
    <n v="112336"/>
    <n v="114282"/>
    <n v="1946"/>
  </r>
  <r>
    <s v="ORD-1670"/>
    <x v="669"/>
    <x v="0"/>
    <x v="2"/>
    <x v="1"/>
    <x v="2"/>
    <n v="6"/>
    <n v="33812"/>
    <n v="43263"/>
    <n v="202872"/>
    <n v="259578"/>
    <n v="56706"/>
  </r>
  <r>
    <s v="ORD-1671"/>
    <x v="670"/>
    <x v="2"/>
    <x v="3"/>
    <x v="0"/>
    <x v="4"/>
    <n v="10"/>
    <n v="11329"/>
    <n v="11827"/>
    <n v="113290"/>
    <n v="118270"/>
    <n v="4980"/>
  </r>
  <r>
    <s v="ORD-1672"/>
    <x v="671"/>
    <x v="1"/>
    <x v="3"/>
    <x v="1"/>
    <x v="5"/>
    <n v="9"/>
    <n v="14704"/>
    <n v="21844"/>
    <n v="132336"/>
    <n v="196596"/>
    <n v="64260"/>
  </r>
  <r>
    <s v="ORD-1673"/>
    <x v="672"/>
    <x v="1"/>
    <x v="2"/>
    <x v="0"/>
    <x v="0"/>
    <n v="3"/>
    <n v="18202"/>
    <n v="22196"/>
    <n v="54606"/>
    <n v="66588"/>
    <n v="11982"/>
  </r>
  <r>
    <s v="ORD-1674"/>
    <x v="673"/>
    <x v="0"/>
    <x v="5"/>
    <x v="1"/>
    <x v="2"/>
    <n v="10"/>
    <n v="7238"/>
    <n v="9876"/>
    <n v="72380"/>
    <n v="98760"/>
    <n v="26380"/>
  </r>
  <r>
    <s v="ORD-1675"/>
    <x v="674"/>
    <x v="1"/>
    <x v="1"/>
    <x v="0"/>
    <x v="4"/>
    <n v="4"/>
    <n v="27876"/>
    <n v="34141"/>
    <n v="111504"/>
    <n v="136564"/>
    <n v="25060"/>
  </r>
  <r>
    <s v="ORD-1676"/>
    <x v="675"/>
    <x v="3"/>
    <x v="3"/>
    <x v="0"/>
    <x v="0"/>
    <n v="3"/>
    <n v="36655"/>
    <n v="37015"/>
    <n v="109965"/>
    <n v="111045"/>
    <n v="1080"/>
  </r>
  <r>
    <s v="ORD-1677"/>
    <x v="676"/>
    <x v="1"/>
    <x v="4"/>
    <x v="0"/>
    <x v="4"/>
    <n v="5"/>
    <n v="21165"/>
    <n v="22995"/>
    <n v="105825"/>
    <n v="114975"/>
    <n v="9150"/>
  </r>
  <r>
    <s v="ORD-1678"/>
    <x v="677"/>
    <x v="3"/>
    <x v="3"/>
    <x v="0"/>
    <x v="3"/>
    <n v="7"/>
    <n v="7948"/>
    <n v="11686"/>
    <n v="55636"/>
    <n v="81802"/>
    <n v="26166"/>
  </r>
  <r>
    <s v="ORD-1679"/>
    <x v="678"/>
    <x v="1"/>
    <x v="5"/>
    <x v="1"/>
    <x v="1"/>
    <n v="5"/>
    <n v="12571"/>
    <n v="20774"/>
    <n v="62855"/>
    <n v="103870"/>
    <n v="41015"/>
  </r>
  <r>
    <s v="ORD-1680"/>
    <x v="679"/>
    <x v="2"/>
    <x v="4"/>
    <x v="0"/>
    <x v="3"/>
    <n v="7"/>
    <n v="11880"/>
    <n v="12597"/>
    <n v="83160"/>
    <n v="88179"/>
    <n v="5019"/>
  </r>
  <r>
    <s v="ORD-1681"/>
    <x v="680"/>
    <x v="3"/>
    <x v="3"/>
    <x v="0"/>
    <x v="4"/>
    <n v="4"/>
    <n v="14808"/>
    <n v="23237"/>
    <n v="59232"/>
    <n v="92948"/>
    <n v="33716"/>
  </r>
  <r>
    <s v="ORD-1682"/>
    <x v="681"/>
    <x v="1"/>
    <x v="1"/>
    <x v="1"/>
    <x v="2"/>
    <n v="9"/>
    <n v="14728"/>
    <n v="19569"/>
    <n v="132552"/>
    <n v="176121"/>
    <n v="43569"/>
  </r>
  <r>
    <s v="ORD-1683"/>
    <x v="682"/>
    <x v="0"/>
    <x v="1"/>
    <x v="0"/>
    <x v="0"/>
    <n v="10"/>
    <n v="21577"/>
    <n v="24858"/>
    <n v="215770"/>
    <n v="248580"/>
    <n v="32810"/>
  </r>
  <r>
    <s v="ORD-1684"/>
    <x v="683"/>
    <x v="0"/>
    <x v="0"/>
    <x v="1"/>
    <x v="1"/>
    <n v="1"/>
    <n v="20680"/>
    <n v="24395"/>
    <n v="20680"/>
    <n v="24395"/>
    <n v="3715"/>
  </r>
  <r>
    <s v="ORD-1685"/>
    <x v="684"/>
    <x v="0"/>
    <x v="0"/>
    <x v="0"/>
    <x v="3"/>
    <n v="4"/>
    <n v="2704"/>
    <n v="3473"/>
    <n v="10816"/>
    <n v="13892"/>
    <n v="3076"/>
  </r>
  <r>
    <s v="ORD-1686"/>
    <x v="685"/>
    <x v="0"/>
    <x v="0"/>
    <x v="0"/>
    <x v="0"/>
    <n v="4"/>
    <n v="6904"/>
    <n v="9856"/>
    <n v="27616"/>
    <n v="39424"/>
    <n v="11808"/>
  </r>
  <r>
    <s v="ORD-1687"/>
    <x v="686"/>
    <x v="1"/>
    <x v="1"/>
    <x v="0"/>
    <x v="0"/>
    <n v="6"/>
    <n v="30008"/>
    <n v="35165"/>
    <n v="180048"/>
    <n v="210990"/>
    <n v="30942"/>
  </r>
  <r>
    <s v="ORD-1688"/>
    <x v="687"/>
    <x v="1"/>
    <x v="1"/>
    <x v="1"/>
    <x v="1"/>
    <n v="1"/>
    <n v="17893"/>
    <n v="20233"/>
    <n v="17893"/>
    <n v="20233"/>
    <n v="2340"/>
  </r>
  <r>
    <s v="ORD-1689"/>
    <x v="688"/>
    <x v="0"/>
    <x v="2"/>
    <x v="1"/>
    <x v="2"/>
    <n v="1"/>
    <n v="39831"/>
    <n v="40281"/>
    <n v="39831"/>
    <n v="40281"/>
    <n v="450"/>
  </r>
  <r>
    <s v="ORD-1690"/>
    <x v="689"/>
    <x v="2"/>
    <x v="0"/>
    <x v="0"/>
    <x v="3"/>
    <n v="9"/>
    <n v="12809"/>
    <n v="14722"/>
    <n v="115281"/>
    <n v="132498"/>
    <n v="17217"/>
  </r>
  <r>
    <s v="ORD-1691"/>
    <x v="690"/>
    <x v="1"/>
    <x v="0"/>
    <x v="0"/>
    <x v="4"/>
    <n v="3"/>
    <n v="27763"/>
    <n v="31969"/>
    <n v="83289"/>
    <n v="95907"/>
    <n v="12618"/>
  </r>
  <r>
    <s v="ORD-1692"/>
    <x v="691"/>
    <x v="2"/>
    <x v="3"/>
    <x v="0"/>
    <x v="0"/>
    <n v="7"/>
    <n v="28576"/>
    <n v="33522"/>
    <n v="200032"/>
    <n v="234654"/>
    <n v="34622"/>
  </r>
  <r>
    <s v="ORD-1693"/>
    <x v="692"/>
    <x v="3"/>
    <x v="1"/>
    <x v="0"/>
    <x v="4"/>
    <n v="2"/>
    <n v="1097"/>
    <n v="1409"/>
    <n v="2194"/>
    <n v="2818"/>
    <n v="624"/>
  </r>
  <r>
    <s v="ORD-1694"/>
    <x v="693"/>
    <x v="0"/>
    <x v="0"/>
    <x v="0"/>
    <x v="3"/>
    <n v="2"/>
    <n v="2084"/>
    <n v="6054"/>
    <n v="4168"/>
    <n v="12108"/>
    <n v="7940"/>
  </r>
  <r>
    <s v="ORD-1695"/>
    <x v="694"/>
    <x v="3"/>
    <x v="1"/>
    <x v="1"/>
    <x v="1"/>
    <n v="7"/>
    <n v="28168"/>
    <n v="35566"/>
    <n v="197176"/>
    <n v="248962"/>
    <n v="51786"/>
  </r>
  <r>
    <s v="ORD-1696"/>
    <x v="695"/>
    <x v="0"/>
    <x v="1"/>
    <x v="0"/>
    <x v="3"/>
    <n v="6"/>
    <n v="26880"/>
    <n v="27786"/>
    <n v="161280"/>
    <n v="166716"/>
    <n v="5436"/>
  </r>
  <r>
    <s v="ORD-1697"/>
    <x v="696"/>
    <x v="3"/>
    <x v="3"/>
    <x v="1"/>
    <x v="2"/>
    <n v="6"/>
    <n v="19539"/>
    <n v="25185"/>
    <n v="117234"/>
    <n v="151110"/>
    <n v="33876"/>
  </r>
  <r>
    <s v="ORD-1698"/>
    <x v="697"/>
    <x v="1"/>
    <x v="1"/>
    <x v="1"/>
    <x v="2"/>
    <n v="7"/>
    <n v="14245"/>
    <n v="23063"/>
    <n v="99715"/>
    <n v="161441"/>
    <n v="61726"/>
  </r>
  <r>
    <s v="ORD-1699"/>
    <x v="698"/>
    <x v="0"/>
    <x v="2"/>
    <x v="0"/>
    <x v="4"/>
    <n v="8"/>
    <n v="23772"/>
    <n v="30025"/>
    <n v="190176"/>
    <n v="240200"/>
    <n v="50024"/>
  </r>
  <r>
    <s v="ORD-1700"/>
    <x v="699"/>
    <x v="0"/>
    <x v="4"/>
    <x v="0"/>
    <x v="0"/>
    <n v="8"/>
    <n v="31735"/>
    <n v="38965"/>
    <n v="253880"/>
    <n v="311720"/>
    <n v="57840"/>
  </r>
  <r>
    <s v="ORD-1701"/>
    <x v="700"/>
    <x v="0"/>
    <x v="3"/>
    <x v="1"/>
    <x v="1"/>
    <n v="8"/>
    <n v="18190"/>
    <n v="27524"/>
    <n v="145520"/>
    <n v="220192"/>
    <n v="74672"/>
  </r>
  <r>
    <s v="ORD-1702"/>
    <x v="701"/>
    <x v="2"/>
    <x v="3"/>
    <x v="1"/>
    <x v="5"/>
    <n v="8"/>
    <n v="23890"/>
    <n v="25127"/>
    <n v="191120"/>
    <n v="201016"/>
    <n v="9896"/>
  </r>
  <r>
    <s v="ORD-1703"/>
    <x v="702"/>
    <x v="1"/>
    <x v="2"/>
    <x v="0"/>
    <x v="0"/>
    <n v="2"/>
    <n v="21937"/>
    <n v="27167"/>
    <n v="43874"/>
    <n v="54334"/>
    <n v="10460"/>
  </r>
  <r>
    <s v="ORD-1704"/>
    <x v="703"/>
    <x v="2"/>
    <x v="4"/>
    <x v="1"/>
    <x v="2"/>
    <n v="6"/>
    <n v="10480"/>
    <n v="14377"/>
    <n v="62880"/>
    <n v="86262"/>
    <n v="23382"/>
  </r>
  <r>
    <s v="ORD-1705"/>
    <x v="704"/>
    <x v="0"/>
    <x v="0"/>
    <x v="1"/>
    <x v="5"/>
    <n v="5"/>
    <n v="33063"/>
    <n v="34834"/>
    <n v="165315"/>
    <n v="174170"/>
    <n v="8855"/>
  </r>
  <r>
    <s v="ORD-1706"/>
    <x v="705"/>
    <x v="2"/>
    <x v="5"/>
    <x v="1"/>
    <x v="2"/>
    <n v="8"/>
    <n v="24874"/>
    <n v="34652"/>
    <n v="198992"/>
    <n v="277216"/>
    <n v="78224"/>
  </r>
  <r>
    <s v="ORD-1707"/>
    <x v="706"/>
    <x v="1"/>
    <x v="4"/>
    <x v="1"/>
    <x v="1"/>
    <n v="5"/>
    <n v="38985"/>
    <n v="46351"/>
    <n v="194925"/>
    <n v="231755"/>
    <n v="36830"/>
  </r>
  <r>
    <s v="ORD-1708"/>
    <x v="707"/>
    <x v="0"/>
    <x v="2"/>
    <x v="1"/>
    <x v="1"/>
    <n v="3"/>
    <n v="11093"/>
    <n v="19996"/>
    <n v="33279"/>
    <n v="59988"/>
    <n v="26709"/>
  </r>
  <r>
    <s v="ORD-1709"/>
    <x v="708"/>
    <x v="0"/>
    <x v="2"/>
    <x v="1"/>
    <x v="1"/>
    <n v="4"/>
    <n v="10479"/>
    <n v="14923"/>
    <n v="41916"/>
    <n v="59692"/>
    <n v="17776"/>
  </r>
  <r>
    <s v="ORD-1710"/>
    <x v="709"/>
    <x v="0"/>
    <x v="5"/>
    <x v="0"/>
    <x v="4"/>
    <n v="5"/>
    <n v="28226"/>
    <n v="32321"/>
    <n v="141130"/>
    <n v="161605"/>
    <n v="20475"/>
  </r>
  <r>
    <s v="ORD-1711"/>
    <x v="710"/>
    <x v="3"/>
    <x v="0"/>
    <x v="1"/>
    <x v="2"/>
    <n v="1"/>
    <n v="24323"/>
    <n v="25653"/>
    <n v="24323"/>
    <n v="25653"/>
    <n v="1330"/>
  </r>
  <r>
    <s v="ORD-1712"/>
    <x v="711"/>
    <x v="3"/>
    <x v="0"/>
    <x v="0"/>
    <x v="3"/>
    <n v="8"/>
    <n v="21117"/>
    <n v="23532"/>
    <n v="168936"/>
    <n v="188256"/>
    <n v="19320"/>
  </r>
  <r>
    <s v="ORD-1713"/>
    <x v="712"/>
    <x v="3"/>
    <x v="2"/>
    <x v="1"/>
    <x v="1"/>
    <n v="7"/>
    <n v="30286"/>
    <n v="39023"/>
    <n v="212002"/>
    <n v="273161"/>
    <n v="61159"/>
  </r>
  <r>
    <s v="ORD-1714"/>
    <x v="713"/>
    <x v="1"/>
    <x v="4"/>
    <x v="1"/>
    <x v="1"/>
    <n v="7"/>
    <n v="4617"/>
    <n v="5987"/>
    <n v="32319"/>
    <n v="41909"/>
    <n v="9590"/>
  </r>
  <r>
    <s v="ORD-1715"/>
    <x v="714"/>
    <x v="3"/>
    <x v="3"/>
    <x v="1"/>
    <x v="2"/>
    <n v="9"/>
    <n v="35378"/>
    <n v="44624"/>
    <n v="318402"/>
    <n v="401616"/>
    <n v="83214"/>
  </r>
  <r>
    <s v="ORD-1716"/>
    <x v="715"/>
    <x v="0"/>
    <x v="1"/>
    <x v="0"/>
    <x v="3"/>
    <n v="8"/>
    <n v="15904"/>
    <n v="23786"/>
    <n v="127232"/>
    <n v="190288"/>
    <n v="63056"/>
  </r>
  <r>
    <s v="ORD-1717"/>
    <x v="716"/>
    <x v="2"/>
    <x v="5"/>
    <x v="1"/>
    <x v="1"/>
    <n v="6"/>
    <n v="36821"/>
    <n v="39737"/>
    <n v="220926"/>
    <n v="238422"/>
    <n v="17496"/>
  </r>
  <r>
    <s v="ORD-1718"/>
    <x v="717"/>
    <x v="0"/>
    <x v="4"/>
    <x v="0"/>
    <x v="0"/>
    <n v="3"/>
    <n v="15097"/>
    <n v="20532"/>
    <n v="45291"/>
    <n v="61596"/>
    <n v="16305"/>
  </r>
  <r>
    <s v="ORD-1719"/>
    <x v="718"/>
    <x v="3"/>
    <x v="2"/>
    <x v="0"/>
    <x v="0"/>
    <n v="2"/>
    <n v="28470"/>
    <n v="37949"/>
    <n v="56940"/>
    <n v="75898"/>
    <n v="18958"/>
  </r>
  <r>
    <s v="ORD-1720"/>
    <x v="719"/>
    <x v="3"/>
    <x v="5"/>
    <x v="1"/>
    <x v="5"/>
    <n v="8"/>
    <n v="21802"/>
    <n v="30637"/>
    <n v="174416"/>
    <n v="245096"/>
    <n v="70680"/>
  </r>
  <r>
    <s v="ORD-1721"/>
    <x v="720"/>
    <x v="1"/>
    <x v="0"/>
    <x v="1"/>
    <x v="5"/>
    <n v="7"/>
    <n v="35142"/>
    <n v="36525"/>
    <n v="245994"/>
    <n v="255675"/>
    <n v="9681"/>
  </r>
  <r>
    <s v="ORD-1722"/>
    <x v="721"/>
    <x v="1"/>
    <x v="0"/>
    <x v="1"/>
    <x v="1"/>
    <n v="10"/>
    <n v="25458"/>
    <n v="26741"/>
    <n v="254580"/>
    <n v="267410"/>
    <n v="12830"/>
  </r>
  <r>
    <s v="ORD-1723"/>
    <x v="722"/>
    <x v="3"/>
    <x v="4"/>
    <x v="0"/>
    <x v="0"/>
    <n v="1"/>
    <n v="34051"/>
    <n v="34743"/>
    <n v="34051"/>
    <n v="34743"/>
    <n v="692"/>
  </r>
  <r>
    <s v="ORD-1724"/>
    <x v="723"/>
    <x v="3"/>
    <x v="2"/>
    <x v="0"/>
    <x v="0"/>
    <n v="1"/>
    <n v="11366"/>
    <n v="13407"/>
    <n v="11366"/>
    <n v="13407"/>
    <n v="2041"/>
  </r>
  <r>
    <s v="ORD-1725"/>
    <x v="724"/>
    <x v="1"/>
    <x v="0"/>
    <x v="1"/>
    <x v="2"/>
    <n v="7"/>
    <n v="13921"/>
    <n v="14739"/>
    <n v="97447"/>
    <n v="103173"/>
    <n v="5726"/>
  </r>
  <r>
    <s v="ORD-1726"/>
    <x v="725"/>
    <x v="3"/>
    <x v="3"/>
    <x v="0"/>
    <x v="4"/>
    <n v="10"/>
    <n v="9265"/>
    <n v="16340"/>
    <n v="92650"/>
    <n v="163400"/>
    <n v="70750"/>
  </r>
  <r>
    <s v="ORD-1727"/>
    <x v="726"/>
    <x v="1"/>
    <x v="0"/>
    <x v="1"/>
    <x v="5"/>
    <n v="2"/>
    <n v="26990"/>
    <n v="33262"/>
    <n v="53980"/>
    <n v="66524"/>
    <n v="12544"/>
  </r>
  <r>
    <s v="ORD-1728"/>
    <x v="727"/>
    <x v="3"/>
    <x v="1"/>
    <x v="0"/>
    <x v="3"/>
    <n v="2"/>
    <n v="22904"/>
    <n v="31832"/>
    <n v="45808"/>
    <n v="63664"/>
    <n v="17856"/>
  </r>
  <r>
    <s v="ORD-1729"/>
    <x v="728"/>
    <x v="2"/>
    <x v="3"/>
    <x v="0"/>
    <x v="0"/>
    <n v="2"/>
    <n v="10200"/>
    <n v="19241"/>
    <n v="20400"/>
    <n v="38482"/>
    <n v="18082"/>
  </r>
  <r>
    <s v="ORD-1730"/>
    <x v="729"/>
    <x v="2"/>
    <x v="5"/>
    <x v="0"/>
    <x v="3"/>
    <n v="3"/>
    <n v="18600"/>
    <n v="24967"/>
    <n v="55800"/>
    <n v="74901"/>
    <n v="19101"/>
  </r>
  <r>
    <s v="ORD-1731"/>
    <x v="730"/>
    <x v="2"/>
    <x v="1"/>
    <x v="1"/>
    <x v="5"/>
    <n v="4"/>
    <n v="39975"/>
    <n v="43568"/>
    <n v="159900"/>
    <n v="174272"/>
    <n v="14372"/>
  </r>
  <r>
    <s v="ORD-1732"/>
    <x v="731"/>
    <x v="1"/>
    <x v="5"/>
    <x v="1"/>
    <x v="1"/>
    <n v="3"/>
    <n v="17392"/>
    <n v="22142"/>
    <n v="52176"/>
    <n v="66426"/>
    <n v="14250"/>
  </r>
  <r>
    <s v="ORD-1733"/>
    <x v="732"/>
    <x v="0"/>
    <x v="0"/>
    <x v="1"/>
    <x v="5"/>
    <n v="6"/>
    <n v="14288"/>
    <n v="23843"/>
    <n v="85728"/>
    <n v="143058"/>
    <n v="57330"/>
  </r>
  <r>
    <s v="ORD-1734"/>
    <x v="733"/>
    <x v="1"/>
    <x v="0"/>
    <x v="0"/>
    <x v="0"/>
    <n v="8"/>
    <n v="7081"/>
    <n v="12601"/>
    <n v="56648"/>
    <n v="100808"/>
    <n v="44160"/>
  </r>
  <r>
    <s v="ORD-1735"/>
    <x v="734"/>
    <x v="1"/>
    <x v="4"/>
    <x v="1"/>
    <x v="5"/>
    <n v="4"/>
    <n v="7074"/>
    <n v="11049"/>
    <n v="28296"/>
    <n v="44196"/>
    <n v="15900"/>
  </r>
  <r>
    <s v="ORD-1736"/>
    <x v="735"/>
    <x v="1"/>
    <x v="0"/>
    <x v="0"/>
    <x v="0"/>
    <n v="8"/>
    <n v="7081"/>
    <n v="12601"/>
    <n v="56648"/>
    <n v="100808"/>
    <n v="44160"/>
  </r>
  <r>
    <s v="ORD-1737"/>
    <x v="736"/>
    <x v="0"/>
    <x v="2"/>
    <x v="1"/>
    <x v="1"/>
    <n v="2"/>
    <n v="11952"/>
    <n v="20595"/>
    <n v="23904"/>
    <n v="41190"/>
    <n v="17286"/>
  </r>
  <r>
    <s v="ORD-1738"/>
    <x v="737"/>
    <x v="1"/>
    <x v="4"/>
    <x v="1"/>
    <x v="5"/>
    <n v="4"/>
    <n v="19410"/>
    <n v="20626"/>
    <n v="77640"/>
    <n v="82504"/>
    <n v="4864"/>
  </r>
  <r>
    <s v="ORD-1739"/>
    <x v="738"/>
    <x v="0"/>
    <x v="3"/>
    <x v="0"/>
    <x v="3"/>
    <n v="3"/>
    <n v="29187"/>
    <n v="32082"/>
    <n v="87561"/>
    <n v="96246"/>
    <n v="8685"/>
  </r>
  <r>
    <s v="ORD-1740"/>
    <x v="739"/>
    <x v="1"/>
    <x v="0"/>
    <x v="0"/>
    <x v="3"/>
    <n v="10"/>
    <n v="19042"/>
    <n v="21257"/>
    <n v="190420"/>
    <n v="212570"/>
    <n v="22150"/>
  </r>
  <r>
    <s v="ORD-1741"/>
    <x v="740"/>
    <x v="3"/>
    <x v="5"/>
    <x v="1"/>
    <x v="1"/>
    <n v="7"/>
    <n v="16048"/>
    <n v="16326"/>
    <n v="112336"/>
    <n v="114282"/>
    <n v="1946"/>
  </r>
  <r>
    <s v="ORD-1742"/>
    <x v="741"/>
    <x v="0"/>
    <x v="2"/>
    <x v="1"/>
    <x v="2"/>
    <n v="6"/>
    <n v="33812"/>
    <n v="43263"/>
    <n v="202872"/>
    <n v="259578"/>
    <n v="56706"/>
  </r>
  <r>
    <s v="ORD-1743"/>
    <x v="742"/>
    <x v="2"/>
    <x v="3"/>
    <x v="0"/>
    <x v="4"/>
    <n v="10"/>
    <n v="11329"/>
    <n v="11827"/>
    <n v="113290"/>
    <n v="118270"/>
    <n v="4980"/>
  </r>
  <r>
    <s v="ORD-1744"/>
    <x v="743"/>
    <x v="1"/>
    <x v="3"/>
    <x v="1"/>
    <x v="5"/>
    <n v="9"/>
    <n v="14704"/>
    <n v="21844"/>
    <n v="132336"/>
    <n v="196596"/>
    <n v="64260"/>
  </r>
  <r>
    <s v="ORD-1745"/>
    <x v="744"/>
    <x v="1"/>
    <x v="2"/>
    <x v="0"/>
    <x v="0"/>
    <n v="3"/>
    <n v="18202"/>
    <n v="22196"/>
    <n v="54606"/>
    <n v="66588"/>
    <n v="11982"/>
  </r>
  <r>
    <s v="ORD-1746"/>
    <x v="745"/>
    <x v="0"/>
    <x v="5"/>
    <x v="1"/>
    <x v="2"/>
    <n v="10"/>
    <n v="7238"/>
    <n v="9876"/>
    <n v="72380"/>
    <n v="98760"/>
    <n v="26380"/>
  </r>
  <r>
    <s v="ORD-1747"/>
    <x v="746"/>
    <x v="1"/>
    <x v="1"/>
    <x v="0"/>
    <x v="4"/>
    <n v="4"/>
    <n v="27876"/>
    <n v="34141"/>
    <n v="111504"/>
    <n v="136564"/>
    <n v="25060"/>
  </r>
  <r>
    <s v="ORD-1748"/>
    <x v="747"/>
    <x v="3"/>
    <x v="3"/>
    <x v="0"/>
    <x v="0"/>
    <n v="3"/>
    <n v="36655"/>
    <n v="37015"/>
    <n v="109965"/>
    <n v="111045"/>
    <n v="1080"/>
  </r>
  <r>
    <s v="ORD-1749"/>
    <x v="748"/>
    <x v="1"/>
    <x v="4"/>
    <x v="0"/>
    <x v="4"/>
    <n v="5"/>
    <n v="21165"/>
    <n v="22995"/>
    <n v="105825"/>
    <n v="114975"/>
    <n v="9150"/>
  </r>
  <r>
    <s v="ORD-1750"/>
    <x v="749"/>
    <x v="3"/>
    <x v="3"/>
    <x v="0"/>
    <x v="3"/>
    <n v="7"/>
    <n v="7948"/>
    <n v="11686"/>
    <n v="55636"/>
    <n v="81802"/>
    <n v="26166"/>
  </r>
  <r>
    <s v="ORD-1751"/>
    <x v="750"/>
    <x v="1"/>
    <x v="5"/>
    <x v="1"/>
    <x v="1"/>
    <n v="5"/>
    <n v="12571"/>
    <n v="20774"/>
    <n v="62855"/>
    <n v="103870"/>
    <n v="41015"/>
  </r>
  <r>
    <s v="ORD-1752"/>
    <x v="751"/>
    <x v="2"/>
    <x v="4"/>
    <x v="0"/>
    <x v="3"/>
    <n v="7"/>
    <n v="11880"/>
    <n v="12597"/>
    <n v="83160"/>
    <n v="88179"/>
    <n v="5019"/>
  </r>
  <r>
    <s v="ORD-1753"/>
    <x v="752"/>
    <x v="3"/>
    <x v="3"/>
    <x v="0"/>
    <x v="4"/>
    <n v="4"/>
    <n v="14808"/>
    <n v="23237"/>
    <n v="59232"/>
    <n v="92948"/>
    <n v="33716"/>
  </r>
  <r>
    <s v="ORD-1754"/>
    <x v="753"/>
    <x v="1"/>
    <x v="1"/>
    <x v="1"/>
    <x v="2"/>
    <n v="9"/>
    <n v="14728"/>
    <n v="19569"/>
    <n v="132552"/>
    <n v="176121"/>
    <n v="43569"/>
  </r>
  <r>
    <s v="ORD-1755"/>
    <x v="754"/>
    <x v="0"/>
    <x v="1"/>
    <x v="0"/>
    <x v="0"/>
    <n v="10"/>
    <n v="21577"/>
    <n v="24858"/>
    <n v="215770"/>
    <n v="248580"/>
    <n v="32810"/>
  </r>
  <r>
    <s v="ORD-1756"/>
    <x v="755"/>
    <x v="0"/>
    <x v="0"/>
    <x v="1"/>
    <x v="1"/>
    <n v="1"/>
    <n v="20680"/>
    <n v="24395"/>
    <n v="20680"/>
    <n v="24395"/>
    <n v="3715"/>
  </r>
  <r>
    <s v="ORD-1757"/>
    <x v="756"/>
    <x v="0"/>
    <x v="0"/>
    <x v="0"/>
    <x v="3"/>
    <n v="4"/>
    <n v="2704"/>
    <n v="3473"/>
    <n v="10816"/>
    <n v="13892"/>
    <n v="3076"/>
  </r>
  <r>
    <s v="ORD-1758"/>
    <x v="757"/>
    <x v="0"/>
    <x v="0"/>
    <x v="0"/>
    <x v="0"/>
    <n v="4"/>
    <n v="6904"/>
    <n v="9856"/>
    <n v="27616"/>
    <n v="39424"/>
    <n v="11808"/>
  </r>
  <r>
    <s v="ORD-1759"/>
    <x v="758"/>
    <x v="1"/>
    <x v="1"/>
    <x v="0"/>
    <x v="0"/>
    <n v="6"/>
    <n v="30008"/>
    <n v="35165"/>
    <n v="180048"/>
    <n v="210990"/>
    <n v="30942"/>
  </r>
  <r>
    <s v="ORD-1760"/>
    <x v="759"/>
    <x v="1"/>
    <x v="1"/>
    <x v="1"/>
    <x v="1"/>
    <n v="1"/>
    <n v="17893"/>
    <n v="20233"/>
    <n v="17893"/>
    <n v="20233"/>
    <n v="2340"/>
  </r>
  <r>
    <s v="ORD-1761"/>
    <x v="760"/>
    <x v="0"/>
    <x v="2"/>
    <x v="1"/>
    <x v="2"/>
    <n v="1"/>
    <n v="39831"/>
    <n v="40281"/>
    <n v="39831"/>
    <n v="40281"/>
    <n v="450"/>
  </r>
  <r>
    <s v="ORD-1762"/>
    <x v="761"/>
    <x v="2"/>
    <x v="0"/>
    <x v="0"/>
    <x v="3"/>
    <n v="9"/>
    <n v="12809"/>
    <n v="14722"/>
    <n v="115281"/>
    <n v="132498"/>
    <n v="17217"/>
  </r>
  <r>
    <s v="ORD-1763"/>
    <x v="762"/>
    <x v="1"/>
    <x v="0"/>
    <x v="0"/>
    <x v="4"/>
    <n v="3"/>
    <n v="27763"/>
    <n v="31969"/>
    <n v="83289"/>
    <n v="95907"/>
    <n v="12618"/>
  </r>
  <r>
    <s v="ORD-1764"/>
    <x v="763"/>
    <x v="2"/>
    <x v="3"/>
    <x v="0"/>
    <x v="0"/>
    <n v="7"/>
    <n v="28576"/>
    <n v="33522"/>
    <n v="200032"/>
    <n v="234654"/>
    <n v="34622"/>
  </r>
  <r>
    <s v="ORD-1765"/>
    <x v="764"/>
    <x v="3"/>
    <x v="1"/>
    <x v="0"/>
    <x v="4"/>
    <n v="2"/>
    <n v="1097"/>
    <n v="1409"/>
    <n v="2194"/>
    <n v="2818"/>
    <n v="624"/>
  </r>
  <r>
    <s v="ORD-1766"/>
    <x v="765"/>
    <x v="0"/>
    <x v="0"/>
    <x v="0"/>
    <x v="3"/>
    <n v="2"/>
    <n v="2084"/>
    <n v="6054"/>
    <n v="4168"/>
    <n v="12108"/>
    <n v="7940"/>
  </r>
  <r>
    <s v="ORD-1767"/>
    <x v="766"/>
    <x v="3"/>
    <x v="1"/>
    <x v="1"/>
    <x v="1"/>
    <n v="7"/>
    <n v="28168"/>
    <n v="35566"/>
    <n v="197176"/>
    <n v="248962"/>
    <n v="51786"/>
  </r>
  <r>
    <s v="ORD-1768"/>
    <x v="767"/>
    <x v="0"/>
    <x v="2"/>
    <x v="0"/>
    <x v="4"/>
    <n v="9"/>
    <n v="10268"/>
    <n v="20253"/>
    <n v="92412"/>
    <n v="182277"/>
    <n v="89865"/>
  </r>
  <r>
    <s v="ORD-1769"/>
    <x v="768"/>
    <x v="1"/>
    <x v="5"/>
    <x v="0"/>
    <x v="3"/>
    <n v="7"/>
    <n v="32620"/>
    <n v="35560"/>
    <n v="228340"/>
    <n v="248920"/>
    <n v="20580"/>
  </r>
  <r>
    <s v="ORD-1770"/>
    <x v="769"/>
    <x v="0"/>
    <x v="1"/>
    <x v="1"/>
    <x v="1"/>
    <n v="9"/>
    <n v="22858"/>
    <n v="27537"/>
    <n v="205722"/>
    <n v="247833"/>
    <n v="42111"/>
  </r>
  <r>
    <s v="ORD-1771"/>
    <x v="770"/>
    <x v="1"/>
    <x v="5"/>
    <x v="1"/>
    <x v="1"/>
    <n v="9"/>
    <n v="9650"/>
    <n v="19095"/>
    <n v="86850"/>
    <n v="171855"/>
    <n v="85005"/>
  </r>
  <r>
    <s v="ORD-1772"/>
    <x v="771"/>
    <x v="1"/>
    <x v="2"/>
    <x v="0"/>
    <x v="3"/>
    <n v="7"/>
    <n v="23050"/>
    <n v="26386"/>
    <n v="161350"/>
    <n v="184702"/>
    <n v="23352"/>
  </r>
  <r>
    <s v="ORD-1773"/>
    <x v="772"/>
    <x v="1"/>
    <x v="3"/>
    <x v="1"/>
    <x v="2"/>
    <n v="5"/>
    <n v="2278"/>
    <n v="10813"/>
    <n v="11390"/>
    <n v="54065"/>
    <n v="42675"/>
  </r>
  <r>
    <s v="ORD-1774"/>
    <x v="773"/>
    <x v="3"/>
    <x v="2"/>
    <x v="1"/>
    <x v="1"/>
    <n v="2"/>
    <n v="31576"/>
    <n v="32037"/>
    <n v="63152"/>
    <n v="64074"/>
    <n v="922"/>
  </r>
  <r>
    <s v="ORD-1775"/>
    <x v="774"/>
    <x v="1"/>
    <x v="2"/>
    <x v="1"/>
    <x v="2"/>
    <n v="1"/>
    <n v="31405"/>
    <n v="38163"/>
    <n v="31405"/>
    <n v="38163"/>
    <n v="6758"/>
  </r>
  <r>
    <s v="ORD-1776"/>
    <x v="775"/>
    <x v="0"/>
    <x v="5"/>
    <x v="1"/>
    <x v="1"/>
    <n v="4"/>
    <n v="18621"/>
    <n v="27256"/>
    <n v="74484"/>
    <n v="109024"/>
    <n v="34540"/>
  </r>
  <r>
    <s v="ORD-1777"/>
    <x v="776"/>
    <x v="2"/>
    <x v="0"/>
    <x v="0"/>
    <x v="3"/>
    <n v="3"/>
    <n v="33463"/>
    <n v="39589"/>
    <n v="100389"/>
    <n v="118767"/>
    <n v="18378"/>
  </r>
  <r>
    <s v="ORD-1778"/>
    <x v="777"/>
    <x v="3"/>
    <x v="1"/>
    <x v="0"/>
    <x v="3"/>
    <n v="8"/>
    <n v="35019"/>
    <n v="39344"/>
    <n v="280152"/>
    <n v="314752"/>
    <n v="34600"/>
  </r>
  <r>
    <s v="ORD-1779"/>
    <x v="778"/>
    <x v="3"/>
    <x v="5"/>
    <x v="1"/>
    <x v="5"/>
    <n v="8"/>
    <n v="2405"/>
    <n v="7433"/>
    <n v="19240"/>
    <n v="59464"/>
    <n v="40224"/>
  </r>
  <r>
    <s v="ORD-1780"/>
    <x v="779"/>
    <x v="0"/>
    <x v="4"/>
    <x v="0"/>
    <x v="3"/>
    <n v="3"/>
    <n v="23931"/>
    <n v="25959"/>
    <n v="71793"/>
    <n v="77877"/>
    <n v="6084"/>
  </r>
  <r>
    <s v="ORD-1781"/>
    <x v="780"/>
    <x v="2"/>
    <x v="5"/>
    <x v="1"/>
    <x v="5"/>
    <n v="9"/>
    <n v="2427"/>
    <n v="2858"/>
    <n v="21843"/>
    <n v="25722"/>
    <n v="3879"/>
  </r>
  <r>
    <s v="ORD-1782"/>
    <x v="781"/>
    <x v="3"/>
    <x v="4"/>
    <x v="1"/>
    <x v="2"/>
    <n v="7"/>
    <n v="11433"/>
    <n v="16098"/>
    <n v="80031"/>
    <n v="112686"/>
    <n v="32655"/>
  </r>
  <r>
    <s v="ORD-1783"/>
    <x v="782"/>
    <x v="2"/>
    <x v="5"/>
    <x v="1"/>
    <x v="1"/>
    <n v="3"/>
    <n v="8943"/>
    <n v="16412"/>
    <n v="26829"/>
    <n v="49236"/>
    <n v="22407"/>
  </r>
  <r>
    <s v="ORD-1784"/>
    <x v="783"/>
    <x v="1"/>
    <x v="1"/>
    <x v="0"/>
    <x v="4"/>
    <n v="6"/>
    <n v="9032"/>
    <n v="10792"/>
    <n v="54192"/>
    <n v="64752"/>
    <n v="10560"/>
  </r>
  <r>
    <s v="ORD-1785"/>
    <x v="784"/>
    <x v="0"/>
    <x v="1"/>
    <x v="0"/>
    <x v="4"/>
    <n v="7"/>
    <n v="39346"/>
    <n v="46565"/>
    <n v="275422"/>
    <n v="325955"/>
    <n v="50533"/>
  </r>
  <r>
    <s v="ORD-1786"/>
    <x v="785"/>
    <x v="2"/>
    <x v="3"/>
    <x v="1"/>
    <x v="5"/>
    <n v="4"/>
    <n v="39425"/>
    <n v="41215"/>
    <n v="157700"/>
    <n v="164860"/>
    <n v="7160"/>
  </r>
  <r>
    <s v="ORD-1787"/>
    <x v="786"/>
    <x v="0"/>
    <x v="1"/>
    <x v="1"/>
    <x v="5"/>
    <n v="6"/>
    <n v="9908"/>
    <n v="11450"/>
    <n v="59448"/>
    <n v="68700"/>
    <n v="9252"/>
  </r>
  <r>
    <s v="ORD-1788"/>
    <x v="787"/>
    <x v="2"/>
    <x v="5"/>
    <x v="0"/>
    <x v="0"/>
    <n v="5"/>
    <n v="16475"/>
    <n v="24802"/>
    <n v="82375"/>
    <n v="124010"/>
    <n v="41635"/>
  </r>
  <r>
    <s v="ORD-1789"/>
    <x v="788"/>
    <x v="0"/>
    <x v="2"/>
    <x v="1"/>
    <x v="5"/>
    <n v="9"/>
    <n v="6368"/>
    <n v="13954"/>
    <n v="57312"/>
    <n v="125586"/>
    <n v="68274"/>
  </r>
  <r>
    <s v="ORD-1790"/>
    <x v="789"/>
    <x v="3"/>
    <x v="1"/>
    <x v="1"/>
    <x v="2"/>
    <n v="5"/>
    <n v="26203"/>
    <n v="32651"/>
    <n v="131015"/>
    <n v="163255"/>
    <n v="32240"/>
  </r>
  <r>
    <s v="ORD-1791"/>
    <x v="790"/>
    <x v="0"/>
    <x v="2"/>
    <x v="1"/>
    <x v="1"/>
    <n v="10"/>
    <n v="15749"/>
    <n v="24248"/>
    <n v="157490"/>
    <n v="242480"/>
    <n v="84990"/>
  </r>
  <r>
    <s v="ORD-1792"/>
    <x v="791"/>
    <x v="3"/>
    <x v="5"/>
    <x v="1"/>
    <x v="2"/>
    <n v="6"/>
    <n v="28614"/>
    <n v="34277"/>
    <n v="171684"/>
    <n v="205662"/>
    <n v="33978"/>
  </r>
  <r>
    <s v="ORD-1793"/>
    <x v="792"/>
    <x v="2"/>
    <x v="3"/>
    <x v="1"/>
    <x v="5"/>
    <n v="1"/>
    <n v="26860"/>
    <n v="34641"/>
    <n v="26860"/>
    <n v="34641"/>
    <n v="7781"/>
  </r>
  <r>
    <s v="ORD-1794"/>
    <x v="793"/>
    <x v="3"/>
    <x v="4"/>
    <x v="0"/>
    <x v="4"/>
    <n v="8"/>
    <n v="32624"/>
    <n v="40754"/>
    <n v="260992"/>
    <n v="326032"/>
    <n v="65040"/>
  </r>
  <r>
    <s v="ORD-1795"/>
    <x v="794"/>
    <x v="0"/>
    <x v="3"/>
    <x v="1"/>
    <x v="1"/>
    <n v="6"/>
    <n v="10307"/>
    <n v="14915"/>
    <n v="61842"/>
    <n v="89490"/>
    <n v="27648"/>
  </r>
  <r>
    <s v="ORD-1796"/>
    <x v="795"/>
    <x v="2"/>
    <x v="3"/>
    <x v="0"/>
    <x v="0"/>
    <n v="1"/>
    <n v="9932"/>
    <n v="16330"/>
    <n v="9932"/>
    <n v="16330"/>
    <n v="6398"/>
  </r>
  <r>
    <s v="ORD-1797"/>
    <x v="796"/>
    <x v="1"/>
    <x v="5"/>
    <x v="0"/>
    <x v="0"/>
    <n v="9"/>
    <n v="5092"/>
    <n v="14487"/>
    <n v="45828"/>
    <n v="130383"/>
    <n v="84555"/>
  </r>
  <r>
    <s v="ORD-1798"/>
    <x v="797"/>
    <x v="3"/>
    <x v="3"/>
    <x v="0"/>
    <x v="3"/>
    <n v="6"/>
    <n v="39336"/>
    <n v="41136"/>
    <n v="236016"/>
    <n v="246816"/>
    <n v="10800"/>
  </r>
  <r>
    <s v="ORD-1799"/>
    <x v="798"/>
    <x v="2"/>
    <x v="2"/>
    <x v="1"/>
    <x v="5"/>
    <n v="2"/>
    <n v="21418"/>
    <n v="29524"/>
    <n v="42836"/>
    <n v="59048"/>
    <n v="16212"/>
  </r>
  <r>
    <s v="ORD-1800"/>
    <x v="799"/>
    <x v="1"/>
    <x v="1"/>
    <x v="0"/>
    <x v="0"/>
    <n v="3"/>
    <n v="15055"/>
    <n v="21282"/>
    <n v="45165"/>
    <n v="63846"/>
    <n v="18681"/>
  </r>
  <r>
    <s v="ORD-1801"/>
    <x v="800"/>
    <x v="3"/>
    <x v="1"/>
    <x v="0"/>
    <x v="4"/>
    <n v="4"/>
    <n v="31222"/>
    <n v="35326"/>
    <n v="124888"/>
    <n v="141304"/>
    <n v="16416"/>
  </r>
  <r>
    <s v="ORD-1802"/>
    <x v="801"/>
    <x v="0"/>
    <x v="0"/>
    <x v="1"/>
    <x v="5"/>
    <n v="9"/>
    <n v="36428"/>
    <n v="44213"/>
    <n v="327852"/>
    <n v="397917"/>
    <n v="70065"/>
  </r>
  <r>
    <s v="ORD-1803"/>
    <x v="802"/>
    <x v="2"/>
    <x v="0"/>
    <x v="0"/>
    <x v="0"/>
    <n v="7"/>
    <n v="28791"/>
    <n v="36340"/>
    <n v="201537"/>
    <n v="254380"/>
    <n v="52843"/>
  </r>
  <r>
    <s v="ORD-1804"/>
    <x v="803"/>
    <x v="2"/>
    <x v="5"/>
    <x v="0"/>
    <x v="3"/>
    <n v="1"/>
    <n v="23560"/>
    <n v="24203"/>
    <n v="23560"/>
    <n v="24203"/>
    <n v="643"/>
  </r>
  <r>
    <s v="ORD-1805"/>
    <x v="804"/>
    <x v="3"/>
    <x v="4"/>
    <x v="0"/>
    <x v="4"/>
    <n v="1"/>
    <n v="25737"/>
    <n v="31346"/>
    <n v="25737"/>
    <n v="31346"/>
    <n v="5609"/>
  </r>
  <r>
    <s v="ORD-1806"/>
    <x v="805"/>
    <x v="2"/>
    <x v="1"/>
    <x v="1"/>
    <x v="1"/>
    <n v="1"/>
    <n v="13415"/>
    <n v="19241"/>
    <n v="13415"/>
    <n v="19241"/>
    <n v="5826"/>
  </r>
  <r>
    <s v="ORD-1807"/>
    <x v="806"/>
    <x v="1"/>
    <x v="1"/>
    <x v="0"/>
    <x v="0"/>
    <n v="2"/>
    <n v="17704"/>
    <n v="25263"/>
    <n v="35408"/>
    <n v="50526"/>
    <n v="15118"/>
  </r>
  <r>
    <s v="ORD-1808"/>
    <x v="807"/>
    <x v="3"/>
    <x v="5"/>
    <x v="1"/>
    <x v="5"/>
    <n v="1"/>
    <n v="17561"/>
    <n v="24203"/>
    <n v="17561"/>
    <n v="24203"/>
    <n v="6642"/>
  </r>
  <r>
    <s v="ORD-1809"/>
    <x v="808"/>
    <x v="0"/>
    <x v="5"/>
    <x v="1"/>
    <x v="2"/>
    <n v="10"/>
    <n v="26390"/>
    <n v="35766"/>
    <n v="263900"/>
    <n v="357660"/>
    <n v="93760"/>
  </r>
  <r>
    <s v="ORD-1810"/>
    <x v="809"/>
    <x v="1"/>
    <x v="2"/>
    <x v="1"/>
    <x v="1"/>
    <n v="1"/>
    <n v="14303"/>
    <n v="21925"/>
    <n v="14303"/>
    <n v="21925"/>
    <n v="7622"/>
  </r>
  <r>
    <s v="ORD-1811"/>
    <x v="810"/>
    <x v="1"/>
    <x v="5"/>
    <x v="1"/>
    <x v="2"/>
    <n v="1"/>
    <n v="20070"/>
    <n v="21257"/>
    <n v="20070"/>
    <n v="21257"/>
    <n v="1187"/>
  </r>
  <r>
    <s v="ORD-1812"/>
    <x v="811"/>
    <x v="0"/>
    <x v="3"/>
    <x v="0"/>
    <x v="3"/>
    <n v="3"/>
    <n v="14529"/>
    <n v="16875"/>
    <n v="43587"/>
    <n v="50625"/>
    <n v="7038"/>
  </r>
  <r>
    <s v="ORD-1813"/>
    <x v="812"/>
    <x v="1"/>
    <x v="1"/>
    <x v="1"/>
    <x v="2"/>
    <n v="5"/>
    <n v="36282"/>
    <n v="41513"/>
    <n v="181410"/>
    <n v="207565"/>
    <n v="26155"/>
  </r>
  <r>
    <s v="ORD-1814"/>
    <x v="813"/>
    <x v="2"/>
    <x v="4"/>
    <x v="1"/>
    <x v="5"/>
    <n v="8"/>
    <n v="11839"/>
    <n v="13378"/>
    <n v="94712"/>
    <n v="107024"/>
    <n v="12312"/>
  </r>
  <r>
    <s v="ORD-1815"/>
    <x v="814"/>
    <x v="1"/>
    <x v="5"/>
    <x v="1"/>
    <x v="2"/>
    <n v="4"/>
    <n v="19257"/>
    <n v="20270"/>
    <n v="77028"/>
    <n v="81080"/>
    <n v="4052"/>
  </r>
  <r>
    <s v="ORD-1816"/>
    <x v="815"/>
    <x v="2"/>
    <x v="5"/>
    <x v="0"/>
    <x v="0"/>
    <n v="1"/>
    <n v="11655"/>
    <n v="17277"/>
    <n v="11655"/>
    <n v="17277"/>
    <n v="5622"/>
  </r>
  <r>
    <s v="ORD-1817"/>
    <x v="816"/>
    <x v="0"/>
    <x v="4"/>
    <x v="1"/>
    <x v="2"/>
    <n v="6"/>
    <n v="37692"/>
    <n v="44462"/>
    <n v="226152"/>
    <n v="266772"/>
    <n v="40620"/>
  </r>
  <r>
    <s v="ORD-1818"/>
    <x v="817"/>
    <x v="0"/>
    <x v="3"/>
    <x v="0"/>
    <x v="4"/>
    <n v="3"/>
    <n v="29548"/>
    <n v="31567"/>
    <n v="88644"/>
    <n v="94701"/>
    <n v="6057"/>
  </r>
  <r>
    <s v="ORD-1819"/>
    <x v="818"/>
    <x v="1"/>
    <x v="3"/>
    <x v="1"/>
    <x v="5"/>
    <n v="3"/>
    <n v="25810"/>
    <n v="35054"/>
    <n v="77430"/>
    <n v="105162"/>
    <n v="27732"/>
  </r>
  <r>
    <s v="ORD-1820"/>
    <x v="819"/>
    <x v="1"/>
    <x v="3"/>
    <x v="1"/>
    <x v="1"/>
    <n v="4"/>
    <n v="14123"/>
    <n v="19999"/>
    <n v="56492"/>
    <n v="79996"/>
    <n v="23504"/>
  </r>
  <r>
    <s v="ORD-1821"/>
    <x v="820"/>
    <x v="3"/>
    <x v="1"/>
    <x v="0"/>
    <x v="4"/>
    <n v="2"/>
    <n v="22037"/>
    <n v="26778"/>
    <n v="44074"/>
    <n v="53556"/>
    <n v="9482"/>
  </r>
  <r>
    <s v="ORD-1822"/>
    <x v="821"/>
    <x v="0"/>
    <x v="3"/>
    <x v="1"/>
    <x v="1"/>
    <n v="4"/>
    <n v="913"/>
    <n v="5545"/>
    <n v="3652"/>
    <n v="22180"/>
    <n v="18528"/>
  </r>
  <r>
    <s v="ORD-1823"/>
    <x v="822"/>
    <x v="1"/>
    <x v="0"/>
    <x v="1"/>
    <x v="5"/>
    <n v="4"/>
    <n v="38180"/>
    <n v="43378"/>
    <n v="152720"/>
    <n v="173512"/>
    <n v="20792"/>
  </r>
  <r>
    <s v="ORD-1824"/>
    <x v="823"/>
    <x v="0"/>
    <x v="0"/>
    <x v="0"/>
    <x v="0"/>
    <n v="4"/>
    <n v="6904"/>
    <n v="9856"/>
    <n v="27616"/>
    <n v="39424"/>
    <n v="11808"/>
  </r>
  <r>
    <s v="ORD-1825"/>
    <x v="824"/>
    <x v="1"/>
    <x v="1"/>
    <x v="0"/>
    <x v="0"/>
    <n v="6"/>
    <n v="30008"/>
    <n v="35165"/>
    <n v="180048"/>
    <n v="210990"/>
    <n v="30942"/>
  </r>
  <r>
    <s v="ORD-1826"/>
    <x v="825"/>
    <x v="1"/>
    <x v="1"/>
    <x v="1"/>
    <x v="1"/>
    <n v="1"/>
    <n v="17893"/>
    <n v="20233"/>
    <n v="17893"/>
    <n v="20233"/>
    <n v="2340"/>
  </r>
  <r>
    <s v="ORD-1827"/>
    <x v="826"/>
    <x v="0"/>
    <x v="2"/>
    <x v="1"/>
    <x v="2"/>
    <n v="1"/>
    <n v="39831"/>
    <n v="40281"/>
    <n v="39831"/>
    <n v="40281"/>
    <n v="450"/>
  </r>
  <r>
    <s v="ORD-1828"/>
    <x v="827"/>
    <x v="2"/>
    <x v="0"/>
    <x v="0"/>
    <x v="3"/>
    <n v="9"/>
    <n v="12809"/>
    <n v="14722"/>
    <n v="115281"/>
    <n v="132498"/>
    <n v="17217"/>
  </r>
  <r>
    <s v="ORD-1829"/>
    <x v="828"/>
    <x v="1"/>
    <x v="0"/>
    <x v="0"/>
    <x v="4"/>
    <n v="3"/>
    <n v="27763"/>
    <n v="31969"/>
    <n v="83289"/>
    <n v="95907"/>
    <n v="12618"/>
  </r>
  <r>
    <s v="ORD-1830"/>
    <x v="829"/>
    <x v="2"/>
    <x v="3"/>
    <x v="0"/>
    <x v="0"/>
    <n v="7"/>
    <n v="28576"/>
    <n v="33522"/>
    <n v="200032"/>
    <n v="234654"/>
    <n v="34622"/>
  </r>
  <r>
    <s v="ORD-1831"/>
    <x v="830"/>
    <x v="3"/>
    <x v="1"/>
    <x v="0"/>
    <x v="4"/>
    <n v="2"/>
    <n v="1097"/>
    <n v="1409"/>
    <n v="2194"/>
    <n v="2818"/>
    <n v="624"/>
  </r>
  <r>
    <s v="ORD-1832"/>
    <x v="831"/>
    <x v="0"/>
    <x v="0"/>
    <x v="0"/>
    <x v="3"/>
    <n v="2"/>
    <n v="2084"/>
    <n v="6054"/>
    <n v="4168"/>
    <n v="12108"/>
    <n v="7940"/>
  </r>
  <r>
    <s v="ORD-1833"/>
    <x v="832"/>
    <x v="3"/>
    <x v="1"/>
    <x v="1"/>
    <x v="1"/>
    <n v="7"/>
    <n v="28168"/>
    <n v="35566"/>
    <n v="197176"/>
    <n v="248962"/>
    <n v="51786"/>
  </r>
  <r>
    <s v="ORD-1834"/>
    <x v="833"/>
    <x v="0"/>
    <x v="1"/>
    <x v="0"/>
    <x v="3"/>
    <n v="6"/>
    <n v="26880"/>
    <n v="27786"/>
    <n v="161280"/>
    <n v="166716"/>
    <n v="5436"/>
  </r>
  <r>
    <s v="ORD-1835"/>
    <x v="834"/>
    <x v="3"/>
    <x v="3"/>
    <x v="1"/>
    <x v="2"/>
    <n v="6"/>
    <n v="19539"/>
    <n v="25185"/>
    <n v="117234"/>
    <n v="151110"/>
    <n v="33876"/>
  </r>
  <r>
    <s v="ORD-1836"/>
    <x v="835"/>
    <x v="1"/>
    <x v="1"/>
    <x v="1"/>
    <x v="2"/>
    <n v="7"/>
    <n v="14245"/>
    <n v="23063"/>
    <n v="99715"/>
    <n v="161441"/>
    <n v="61726"/>
  </r>
  <r>
    <s v="ORD-1837"/>
    <x v="836"/>
    <x v="0"/>
    <x v="2"/>
    <x v="0"/>
    <x v="4"/>
    <n v="8"/>
    <n v="23772"/>
    <n v="30025"/>
    <n v="190176"/>
    <n v="240200"/>
    <n v="50024"/>
  </r>
  <r>
    <s v="ORD-1838"/>
    <x v="837"/>
    <x v="0"/>
    <x v="4"/>
    <x v="0"/>
    <x v="0"/>
    <n v="8"/>
    <n v="31735"/>
    <n v="38965"/>
    <n v="253880"/>
    <n v="311720"/>
    <n v="57840"/>
  </r>
  <r>
    <s v="ORD-1839"/>
    <x v="838"/>
    <x v="0"/>
    <x v="3"/>
    <x v="1"/>
    <x v="1"/>
    <n v="8"/>
    <n v="18190"/>
    <n v="27524"/>
    <n v="145520"/>
    <n v="220192"/>
    <n v="74672"/>
  </r>
  <r>
    <s v="ORD-1840"/>
    <x v="839"/>
    <x v="2"/>
    <x v="3"/>
    <x v="1"/>
    <x v="5"/>
    <n v="8"/>
    <n v="23890"/>
    <n v="25127"/>
    <n v="191120"/>
    <n v="201016"/>
    <n v="9896"/>
  </r>
  <r>
    <s v="ORD-1841"/>
    <x v="840"/>
    <x v="1"/>
    <x v="2"/>
    <x v="0"/>
    <x v="0"/>
    <n v="2"/>
    <n v="21937"/>
    <n v="27167"/>
    <n v="43874"/>
    <n v="54334"/>
    <n v="10460"/>
  </r>
  <r>
    <s v="ORD-1842"/>
    <x v="841"/>
    <x v="2"/>
    <x v="4"/>
    <x v="1"/>
    <x v="2"/>
    <n v="6"/>
    <n v="10480"/>
    <n v="14377"/>
    <n v="62880"/>
    <n v="86262"/>
    <n v="23382"/>
  </r>
  <r>
    <s v="ORD-1843"/>
    <x v="842"/>
    <x v="0"/>
    <x v="0"/>
    <x v="1"/>
    <x v="5"/>
    <n v="5"/>
    <n v="33063"/>
    <n v="34834"/>
    <n v="165315"/>
    <n v="174170"/>
    <n v="8855"/>
  </r>
  <r>
    <s v="ORD-1844"/>
    <x v="843"/>
    <x v="2"/>
    <x v="5"/>
    <x v="1"/>
    <x v="2"/>
    <n v="8"/>
    <n v="24874"/>
    <n v="34652"/>
    <n v="198992"/>
    <n v="277216"/>
    <n v="78224"/>
  </r>
  <r>
    <s v="ORD-1845"/>
    <x v="844"/>
    <x v="1"/>
    <x v="4"/>
    <x v="1"/>
    <x v="1"/>
    <n v="5"/>
    <n v="38985"/>
    <n v="46351"/>
    <n v="194925"/>
    <n v="231755"/>
    <n v="36830"/>
  </r>
  <r>
    <s v="ORD-1846"/>
    <x v="845"/>
    <x v="0"/>
    <x v="2"/>
    <x v="1"/>
    <x v="1"/>
    <n v="3"/>
    <n v="11093"/>
    <n v="19996"/>
    <n v="33279"/>
    <n v="59988"/>
    <n v="26709"/>
  </r>
  <r>
    <s v="ORD-1847"/>
    <x v="846"/>
    <x v="0"/>
    <x v="2"/>
    <x v="1"/>
    <x v="1"/>
    <n v="4"/>
    <n v="10479"/>
    <n v="14923"/>
    <n v="41916"/>
    <n v="59692"/>
    <n v="17776"/>
  </r>
  <r>
    <s v="ORD-1848"/>
    <x v="847"/>
    <x v="0"/>
    <x v="5"/>
    <x v="0"/>
    <x v="4"/>
    <n v="5"/>
    <n v="28226"/>
    <n v="32321"/>
    <n v="141130"/>
    <n v="161605"/>
    <n v="20475"/>
  </r>
  <r>
    <s v="ORD-1849"/>
    <x v="848"/>
    <x v="3"/>
    <x v="0"/>
    <x v="1"/>
    <x v="2"/>
    <n v="1"/>
    <n v="24323"/>
    <n v="25653"/>
    <n v="24323"/>
    <n v="25653"/>
    <n v="1330"/>
  </r>
  <r>
    <s v="ORD-1850"/>
    <x v="849"/>
    <x v="3"/>
    <x v="0"/>
    <x v="0"/>
    <x v="3"/>
    <n v="8"/>
    <n v="21117"/>
    <n v="23532"/>
    <n v="168936"/>
    <n v="188256"/>
    <n v="19320"/>
  </r>
  <r>
    <s v="ORD-1851"/>
    <x v="850"/>
    <x v="3"/>
    <x v="2"/>
    <x v="1"/>
    <x v="1"/>
    <n v="7"/>
    <n v="30286"/>
    <n v="39023"/>
    <n v="212002"/>
    <n v="273161"/>
    <n v="61159"/>
  </r>
  <r>
    <s v="ORD-1852"/>
    <x v="851"/>
    <x v="1"/>
    <x v="4"/>
    <x v="1"/>
    <x v="1"/>
    <n v="7"/>
    <n v="4617"/>
    <n v="5987"/>
    <n v="32319"/>
    <n v="41909"/>
    <n v="9590"/>
  </r>
  <r>
    <s v="ORD-1853"/>
    <x v="852"/>
    <x v="3"/>
    <x v="3"/>
    <x v="1"/>
    <x v="2"/>
    <n v="9"/>
    <n v="35378"/>
    <n v="44624"/>
    <n v="318402"/>
    <n v="401616"/>
    <n v="83214"/>
  </r>
  <r>
    <s v="ORD-1854"/>
    <x v="853"/>
    <x v="0"/>
    <x v="1"/>
    <x v="0"/>
    <x v="3"/>
    <n v="8"/>
    <n v="15904"/>
    <n v="23786"/>
    <n v="127232"/>
    <n v="190288"/>
    <n v="63056"/>
  </r>
  <r>
    <s v="ORD-1855"/>
    <x v="854"/>
    <x v="2"/>
    <x v="5"/>
    <x v="1"/>
    <x v="1"/>
    <n v="6"/>
    <n v="36821"/>
    <n v="39737"/>
    <n v="220926"/>
    <n v="238422"/>
    <n v="17496"/>
  </r>
  <r>
    <s v="ORD-1856"/>
    <x v="855"/>
    <x v="0"/>
    <x v="4"/>
    <x v="0"/>
    <x v="0"/>
    <n v="3"/>
    <n v="15097"/>
    <n v="20532"/>
    <n v="45291"/>
    <n v="61596"/>
    <n v="16305"/>
  </r>
  <r>
    <s v="ORD-1857"/>
    <x v="856"/>
    <x v="3"/>
    <x v="2"/>
    <x v="0"/>
    <x v="0"/>
    <n v="2"/>
    <n v="28470"/>
    <n v="37949"/>
    <n v="56940"/>
    <n v="75898"/>
    <n v="18958"/>
  </r>
  <r>
    <s v="ORD-1858"/>
    <x v="857"/>
    <x v="3"/>
    <x v="5"/>
    <x v="1"/>
    <x v="5"/>
    <n v="8"/>
    <n v="21802"/>
    <n v="30637"/>
    <n v="174416"/>
    <n v="245096"/>
    <n v="70680"/>
  </r>
  <r>
    <s v="ORD-1859"/>
    <x v="858"/>
    <x v="1"/>
    <x v="0"/>
    <x v="1"/>
    <x v="5"/>
    <n v="7"/>
    <n v="35142"/>
    <n v="36525"/>
    <n v="245994"/>
    <n v="255675"/>
    <n v="9681"/>
  </r>
  <r>
    <s v="ORD-1860"/>
    <x v="859"/>
    <x v="1"/>
    <x v="0"/>
    <x v="1"/>
    <x v="1"/>
    <n v="10"/>
    <n v="25458"/>
    <n v="26741"/>
    <n v="254580"/>
    <n v="267410"/>
    <n v="12830"/>
  </r>
  <r>
    <s v="ORD-1861"/>
    <x v="860"/>
    <x v="3"/>
    <x v="4"/>
    <x v="0"/>
    <x v="0"/>
    <n v="1"/>
    <n v="34051"/>
    <n v="34743"/>
    <n v="34051"/>
    <n v="34743"/>
    <n v="692"/>
  </r>
  <r>
    <s v="ORD-1862"/>
    <x v="861"/>
    <x v="3"/>
    <x v="2"/>
    <x v="0"/>
    <x v="0"/>
    <n v="1"/>
    <n v="11366"/>
    <n v="13407"/>
    <n v="11366"/>
    <n v="13407"/>
    <n v="2041"/>
  </r>
  <r>
    <s v="ORD-1863"/>
    <x v="862"/>
    <x v="1"/>
    <x v="0"/>
    <x v="1"/>
    <x v="2"/>
    <n v="7"/>
    <n v="13921"/>
    <n v="14739"/>
    <n v="97447"/>
    <n v="103173"/>
    <n v="5726"/>
  </r>
  <r>
    <s v="ORD-1864"/>
    <x v="863"/>
    <x v="3"/>
    <x v="3"/>
    <x v="0"/>
    <x v="4"/>
    <n v="10"/>
    <n v="9265"/>
    <n v="16340"/>
    <n v="92650"/>
    <n v="163400"/>
    <n v="70750"/>
  </r>
  <r>
    <s v="ORD-1865"/>
    <x v="864"/>
    <x v="1"/>
    <x v="0"/>
    <x v="1"/>
    <x v="5"/>
    <n v="2"/>
    <n v="26990"/>
    <n v="33262"/>
    <n v="53980"/>
    <n v="66524"/>
    <n v="12544"/>
  </r>
  <r>
    <s v="ORD-1866"/>
    <x v="865"/>
    <x v="3"/>
    <x v="1"/>
    <x v="0"/>
    <x v="3"/>
    <n v="2"/>
    <n v="22904"/>
    <n v="31832"/>
    <n v="45808"/>
    <n v="63664"/>
    <n v="17856"/>
  </r>
  <r>
    <s v="ORD-1867"/>
    <x v="866"/>
    <x v="2"/>
    <x v="3"/>
    <x v="0"/>
    <x v="0"/>
    <n v="2"/>
    <n v="10200"/>
    <n v="19241"/>
    <n v="20400"/>
    <n v="38482"/>
    <n v="18082"/>
  </r>
  <r>
    <s v="ORD-1868"/>
    <x v="867"/>
    <x v="2"/>
    <x v="5"/>
    <x v="0"/>
    <x v="3"/>
    <n v="3"/>
    <n v="18600"/>
    <n v="24967"/>
    <n v="55800"/>
    <n v="74901"/>
    <n v="19101"/>
  </r>
  <r>
    <s v="ORD-1869"/>
    <x v="868"/>
    <x v="2"/>
    <x v="1"/>
    <x v="1"/>
    <x v="5"/>
    <n v="4"/>
    <n v="39975"/>
    <n v="43568"/>
    <n v="159900"/>
    <n v="174272"/>
    <n v="14372"/>
  </r>
  <r>
    <s v="ORD-1870"/>
    <x v="869"/>
    <x v="1"/>
    <x v="5"/>
    <x v="1"/>
    <x v="1"/>
    <n v="3"/>
    <n v="17392"/>
    <n v="22142"/>
    <n v="52176"/>
    <n v="66426"/>
    <n v="14250"/>
  </r>
  <r>
    <s v="ORD-1871"/>
    <x v="870"/>
    <x v="0"/>
    <x v="0"/>
    <x v="1"/>
    <x v="5"/>
    <n v="6"/>
    <n v="14288"/>
    <n v="23843"/>
    <n v="85728"/>
    <n v="143058"/>
    <n v="57330"/>
  </r>
  <r>
    <s v="ORD-1872"/>
    <x v="871"/>
    <x v="0"/>
    <x v="4"/>
    <x v="0"/>
    <x v="0"/>
    <n v="3"/>
    <n v="35038"/>
    <n v="35770"/>
    <n v="105114"/>
    <n v="107310"/>
    <n v="2196"/>
  </r>
  <r>
    <s v="ORD-1873"/>
    <x v="872"/>
    <x v="2"/>
    <x v="3"/>
    <x v="0"/>
    <x v="0"/>
    <n v="3"/>
    <n v="24443"/>
    <n v="29661"/>
    <n v="73329"/>
    <n v="88983"/>
    <n v="15654"/>
  </r>
  <r>
    <s v="ORD-1874"/>
    <x v="873"/>
    <x v="2"/>
    <x v="2"/>
    <x v="0"/>
    <x v="3"/>
    <n v="6"/>
    <n v="12654"/>
    <n v="17365"/>
    <n v="75924"/>
    <n v="104190"/>
    <n v="28266"/>
  </r>
  <r>
    <s v="ORD-1875"/>
    <x v="874"/>
    <x v="1"/>
    <x v="3"/>
    <x v="1"/>
    <x v="5"/>
    <n v="7"/>
    <n v="30937"/>
    <n v="36858"/>
    <n v="216559"/>
    <n v="258006"/>
    <n v="41447"/>
  </r>
  <r>
    <s v="ORD-1876"/>
    <x v="875"/>
    <x v="3"/>
    <x v="1"/>
    <x v="1"/>
    <x v="1"/>
    <n v="6"/>
    <n v="39139"/>
    <n v="43375"/>
    <n v="234834"/>
    <n v="260250"/>
    <n v="25416"/>
  </r>
  <r>
    <s v="ORD-1877"/>
    <x v="876"/>
    <x v="1"/>
    <x v="2"/>
    <x v="0"/>
    <x v="4"/>
    <n v="6"/>
    <n v="29642"/>
    <n v="33246"/>
    <n v="177852"/>
    <n v="199476"/>
    <n v="21624"/>
  </r>
  <r>
    <s v="ORD-1878"/>
    <x v="877"/>
    <x v="3"/>
    <x v="3"/>
    <x v="0"/>
    <x v="0"/>
    <n v="6"/>
    <n v="20154"/>
    <n v="25640"/>
    <n v="120924"/>
    <n v="153840"/>
    <n v="32916"/>
  </r>
  <r>
    <s v="ORD-1879"/>
    <x v="878"/>
    <x v="3"/>
    <x v="1"/>
    <x v="0"/>
    <x v="0"/>
    <n v="3"/>
    <n v="18997"/>
    <n v="25919"/>
    <n v="56991"/>
    <n v="77757"/>
    <n v="20766"/>
  </r>
  <r>
    <s v="ORD-1880"/>
    <x v="879"/>
    <x v="1"/>
    <x v="2"/>
    <x v="0"/>
    <x v="4"/>
    <n v="5"/>
    <n v="4736"/>
    <n v="5968"/>
    <n v="23680"/>
    <n v="29840"/>
    <n v="6160"/>
  </r>
  <r>
    <s v="ORD-1881"/>
    <x v="880"/>
    <x v="2"/>
    <x v="5"/>
    <x v="1"/>
    <x v="2"/>
    <n v="7"/>
    <n v="4073"/>
    <n v="10914"/>
    <n v="28511"/>
    <n v="76398"/>
    <n v="47887"/>
  </r>
  <r>
    <s v="ORD-1882"/>
    <x v="881"/>
    <x v="1"/>
    <x v="0"/>
    <x v="0"/>
    <x v="4"/>
    <n v="9"/>
    <n v="33144"/>
    <n v="37652"/>
    <n v="298296"/>
    <n v="338868"/>
    <n v="40572"/>
  </r>
  <r>
    <s v="ORD-1883"/>
    <x v="882"/>
    <x v="3"/>
    <x v="5"/>
    <x v="0"/>
    <x v="0"/>
    <n v="9"/>
    <n v="36576"/>
    <n v="44663"/>
    <n v="329184"/>
    <n v="401967"/>
    <n v="72783"/>
  </r>
  <r>
    <s v="ORD-1884"/>
    <x v="883"/>
    <x v="0"/>
    <x v="2"/>
    <x v="1"/>
    <x v="1"/>
    <n v="6"/>
    <n v="19606"/>
    <n v="23656"/>
    <n v="117636"/>
    <n v="141936"/>
    <n v="24300"/>
  </r>
  <r>
    <s v="ORD-1885"/>
    <x v="884"/>
    <x v="1"/>
    <x v="1"/>
    <x v="0"/>
    <x v="4"/>
    <n v="7"/>
    <n v="17351"/>
    <n v="17789"/>
    <n v="121457"/>
    <n v="124523"/>
    <n v="3066"/>
  </r>
  <r>
    <s v="ORD-1886"/>
    <x v="885"/>
    <x v="2"/>
    <x v="5"/>
    <x v="1"/>
    <x v="1"/>
    <n v="8"/>
    <n v="28386"/>
    <n v="36029"/>
    <n v="227088"/>
    <n v="288232"/>
    <n v="61144"/>
  </r>
  <r>
    <s v="ORD-1887"/>
    <x v="886"/>
    <x v="0"/>
    <x v="4"/>
    <x v="1"/>
    <x v="1"/>
    <n v="5"/>
    <n v="30737"/>
    <n v="39639"/>
    <n v="153685"/>
    <n v="198195"/>
    <n v="44510"/>
  </r>
  <r>
    <s v="ORD-1888"/>
    <x v="887"/>
    <x v="3"/>
    <x v="0"/>
    <x v="0"/>
    <x v="4"/>
    <n v="9"/>
    <n v="23908"/>
    <n v="25435"/>
    <n v="215172"/>
    <n v="228915"/>
    <n v="13743"/>
  </r>
  <r>
    <s v="ORD-1889"/>
    <x v="888"/>
    <x v="1"/>
    <x v="1"/>
    <x v="1"/>
    <x v="5"/>
    <n v="6"/>
    <n v="32460"/>
    <n v="42231"/>
    <n v="194760"/>
    <n v="253386"/>
    <n v="58626"/>
  </r>
  <r>
    <s v="ORD-1890"/>
    <x v="889"/>
    <x v="2"/>
    <x v="3"/>
    <x v="0"/>
    <x v="4"/>
    <n v="7"/>
    <n v="22994"/>
    <n v="29977"/>
    <n v="160958"/>
    <n v="209839"/>
    <n v="48881"/>
  </r>
  <r>
    <s v="ORD-1891"/>
    <x v="890"/>
    <x v="1"/>
    <x v="5"/>
    <x v="0"/>
    <x v="3"/>
    <n v="1"/>
    <n v="30549"/>
    <n v="38349"/>
    <n v="30549"/>
    <n v="38349"/>
    <n v="7800"/>
  </r>
  <r>
    <s v="ORD-1892"/>
    <x v="891"/>
    <x v="2"/>
    <x v="0"/>
    <x v="0"/>
    <x v="3"/>
    <n v="6"/>
    <n v="33430"/>
    <n v="37893"/>
    <n v="200580"/>
    <n v="227358"/>
    <n v="26778"/>
  </r>
  <r>
    <s v="ORD-1893"/>
    <x v="892"/>
    <x v="0"/>
    <x v="5"/>
    <x v="1"/>
    <x v="1"/>
    <n v="5"/>
    <n v="35197"/>
    <n v="37896"/>
    <n v="175985"/>
    <n v="189480"/>
    <n v="13495"/>
  </r>
  <r>
    <s v="ORD-1894"/>
    <x v="893"/>
    <x v="3"/>
    <x v="4"/>
    <x v="1"/>
    <x v="1"/>
    <n v="1"/>
    <n v="27078"/>
    <n v="31452"/>
    <n v="27078"/>
    <n v="31452"/>
    <n v="4374"/>
  </r>
  <r>
    <s v="ORD-1895"/>
    <x v="894"/>
    <x v="1"/>
    <x v="1"/>
    <x v="0"/>
    <x v="3"/>
    <n v="5"/>
    <n v="12205"/>
    <n v="17630"/>
    <n v="61025"/>
    <n v="88150"/>
    <n v="27125"/>
  </r>
  <r>
    <s v="ORD-1896"/>
    <x v="895"/>
    <x v="0"/>
    <x v="3"/>
    <x v="1"/>
    <x v="2"/>
    <n v="4"/>
    <n v="3369"/>
    <n v="6143"/>
    <n v="13476"/>
    <n v="24572"/>
    <n v="11096"/>
  </r>
  <r>
    <s v="ORD-1897"/>
    <x v="896"/>
    <x v="1"/>
    <x v="3"/>
    <x v="1"/>
    <x v="5"/>
    <n v="1"/>
    <n v="36937"/>
    <n v="39506"/>
    <n v="36937"/>
    <n v="39506"/>
    <n v="2569"/>
  </r>
  <r>
    <s v="ORD-1898"/>
    <x v="897"/>
    <x v="2"/>
    <x v="1"/>
    <x v="1"/>
    <x v="1"/>
    <n v="8"/>
    <n v="34805"/>
    <n v="41124"/>
    <n v="278440"/>
    <n v="328992"/>
    <n v="50552"/>
  </r>
  <r>
    <s v="ORD-1899"/>
    <x v="898"/>
    <x v="3"/>
    <x v="5"/>
    <x v="0"/>
    <x v="3"/>
    <n v="1"/>
    <n v="30007"/>
    <n v="32685"/>
    <n v="30007"/>
    <n v="32685"/>
    <n v="2678"/>
  </r>
  <r>
    <s v="ORD-1900"/>
    <x v="899"/>
    <x v="1"/>
    <x v="4"/>
    <x v="1"/>
    <x v="5"/>
    <n v="4"/>
    <n v="7074"/>
    <n v="11049"/>
    <n v="28296"/>
    <n v="44196"/>
    <n v="15900"/>
  </r>
  <r>
    <s v="ORD-1901"/>
    <x v="900"/>
    <x v="1"/>
    <x v="0"/>
    <x v="0"/>
    <x v="0"/>
    <n v="8"/>
    <n v="7081"/>
    <n v="12601"/>
    <n v="56648"/>
    <n v="100808"/>
    <n v="44160"/>
  </r>
  <r>
    <s v="ORD-1902"/>
    <x v="901"/>
    <x v="0"/>
    <x v="2"/>
    <x v="1"/>
    <x v="1"/>
    <n v="2"/>
    <n v="11952"/>
    <n v="20595"/>
    <n v="23904"/>
    <n v="41190"/>
    <n v="17286"/>
  </r>
  <r>
    <s v="ORD-1903"/>
    <x v="902"/>
    <x v="1"/>
    <x v="4"/>
    <x v="1"/>
    <x v="5"/>
    <n v="4"/>
    <n v="19410"/>
    <n v="20626"/>
    <n v="77640"/>
    <n v="82504"/>
    <n v="4864"/>
  </r>
  <r>
    <s v="ORD-1904"/>
    <x v="903"/>
    <x v="0"/>
    <x v="3"/>
    <x v="0"/>
    <x v="3"/>
    <n v="3"/>
    <n v="29187"/>
    <n v="32082"/>
    <n v="87561"/>
    <n v="96246"/>
    <n v="8685"/>
  </r>
  <r>
    <s v="ORD-1905"/>
    <x v="904"/>
    <x v="1"/>
    <x v="0"/>
    <x v="0"/>
    <x v="3"/>
    <n v="10"/>
    <n v="19042"/>
    <n v="21257"/>
    <n v="190420"/>
    <n v="212570"/>
    <n v="22150"/>
  </r>
  <r>
    <s v="ORD-1906"/>
    <x v="905"/>
    <x v="3"/>
    <x v="5"/>
    <x v="1"/>
    <x v="1"/>
    <n v="7"/>
    <n v="16048"/>
    <n v="16326"/>
    <n v="112336"/>
    <n v="114282"/>
    <n v="1946"/>
  </r>
  <r>
    <s v="ORD-1907"/>
    <x v="906"/>
    <x v="0"/>
    <x v="2"/>
    <x v="1"/>
    <x v="2"/>
    <n v="6"/>
    <n v="33812"/>
    <n v="43263"/>
    <n v="202872"/>
    <n v="259578"/>
    <n v="56706"/>
  </r>
  <r>
    <s v="ORD-1908"/>
    <x v="907"/>
    <x v="2"/>
    <x v="3"/>
    <x v="0"/>
    <x v="4"/>
    <n v="10"/>
    <n v="11329"/>
    <n v="11827"/>
    <n v="113290"/>
    <n v="118270"/>
    <n v="4980"/>
  </r>
  <r>
    <s v="ORD-1909"/>
    <x v="908"/>
    <x v="1"/>
    <x v="3"/>
    <x v="1"/>
    <x v="5"/>
    <n v="9"/>
    <n v="14704"/>
    <n v="21844"/>
    <n v="132336"/>
    <n v="196596"/>
    <n v="64260"/>
  </r>
  <r>
    <s v="ORD-1910"/>
    <x v="909"/>
    <x v="1"/>
    <x v="2"/>
    <x v="0"/>
    <x v="0"/>
    <n v="3"/>
    <n v="18202"/>
    <n v="22196"/>
    <n v="54606"/>
    <n v="66588"/>
    <n v="11982"/>
  </r>
  <r>
    <s v="ORD-1911"/>
    <x v="910"/>
    <x v="0"/>
    <x v="5"/>
    <x v="1"/>
    <x v="2"/>
    <n v="10"/>
    <n v="7238"/>
    <n v="9876"/>
    <n v="72380"/>
    <n v="98760"/>
    <n v="26380"/>
  </r>
  <r>
    <s v="ORD-1912"/>
    <x v="911"/>
    <x v="1"/>
    <x v="1"/>
    <x v="0"/>
    <x v="4"/>
    <n v="4"/>
    <n v="27876"/>
    <n v="34141"/>
    <n v="111504"/>
    <n v="136564"/>
    <n v="25060"/>
  </r>
  <r>
    <s v="ORD-1913"/>
    <x v="912"/>
    <x v="3"/>
    <x v="3"/>
    <x v="0"/>
    <x v="0"/>
    <n v="3"/>
    <n v="36655"/>
    <n v="37015"/>
    <n v="109965"/>
    <n v="111045"/>
    <n v="1080"/>
  </r>
  <r>
    <s v="ORD-1914"/>
    <x v="913"/>
    <x v="1"/>
    <x v="4"/>
    <x v="0"/>
    <x v="4"/>
    <n v="5"/>
    <n v="21165"/>
    <n v="22995"/>
    <n v="105825"/>
    <n v="114975"/>
    <n v="9150"/>
  </r>
  <r>
    <s v="ORD-1915"/>
    <x v="914"/>
    <x v="3"/>
    <x v="3"/>
    <x v="0"/>
    <x v="3"/>
    <n v="7"/>
    <n v="7948"/>
    <n v="11686"/>
    <n v="55636"/>
    <n v="81802"/>
    <n v="26166"/>
  </r>
  <r>
    <s v="ORD-1916"/>
    <x v="915"/>
    <x v="1"/>
    <x v="5"/>
    <x v="1"/>
    <x v="1"/>
    <n v="5"/>
    <n v="12571"/>
    <n v="20774"/>
    <n v="62855"/>
    <n v="103870"/>
    <n v="41015"/>
  </r>
  <r>
    <s v="ORD-1917"/>
    <x v="916"/>
    <x v="2"/>
    <x v="4"/>
    <x v="0"/>
    <x v="3"/>
    <n v="7"/>
    <n v="11880"/>
    <n v="12597"/>
    <n v="83160"/>
    <n v="88179"/>
    <n v="5019"/>
  </r>
  <r>
    <s v="ORD-1918"/>
    <x v="917"/>
    <x v="3"/>
    <x v="3"/>
    <x v="0"/>
    <x v="4"/>
    <n v="4"/>
    <n v="14808"/>
    <n v="23237"/>
    <n v="59232"/>
    <n v="92948"/>
    <n v="33716"/>
  </r>
  <r>
    <s v="ORD-1919"/>
    <x v="918"/>
    <x v="1"/>
    <x v="1"/>
    <x v="1"/>
    <x v="2"/>
    <n v="9"/>
    <n v="14728"/>
    <n v="19569"/>
    <n v="132552"/>
    <n v="176121"/>
    <n v="43569"/>
  </r>
  <r>
    <s v="ORD-1920"/>
    <x v="919"/>
    <x v="0"/>
    <x v="1"/>
    <x v="0"/>
    <x v="0"/>
    <n v="10"/>
    <n v="21577"/>
    <n v="24858"/>
    <n v="215770"/>
    <n v="248580"/>
    <n v="32810"/>
  </r>
  <r>
    <s v="ORD-1921"/>
    <x v="920"/>
    <x v="0"/>
    <x v="0"/>
    <x v="1"/>
    <x v="1"/>
    <n v="1"/>
    <n v="20680"/>
    <n v="24395"/>
    <n v="20680"/>
    <n v="24395"/>
    <n v="3715"/>
  </r>
  <r>
    <s v="ORD-1922"/>
    <x v="921"/>
    <x v="0"/>
    <x v="0"/>
    <x v="0"/>
    <x v="3"/>
    <n v="4"/>
    <n v="2704"/>
    <n v="3473"/>
    <n v="10816"/>
    <n v="13892"/>
    <n v="3076"/>
  </r>
  <r>
    <s v="ORD-1923"/>
    <x v="922"/>
    <x v="2"/>
    <x v="1"/>
    <x v="1"/>
    <x v="5"/>
    <n v="4"/>
    <n v="13297"/>
    <n v="21897"/>
    <n v="53188"/>
    <n v="87588"/>
    <n v="34400"/>
  </r>
  <r>
    <s v="ORD-1924"/>
    <x v="923"/>
    <x v="3"/>
    <x v="1"/>
    <x v="1"/>
    <x v="1"/>
    <n v="1"/>
    <n v="5827"/>
    <n v="13208"/>
    <n v="5827"/>
    <n v="13208"/>
    <n v="7381"/>
  </r>
  <r>
    <s v="ORD-1925"/>
    <x v="924"/>
    <x v="0"/>
    <x v="0"/>
    <x v="0"/>
    <x v="3"/>
    <n v="1"/>
    <n v="31429"/>
    <n v="38435"/>
    <n v="31429"/>
    <n v="38435"/>
    <n v="7006"/>
  </r>
  <r>
    <s v="ORD-1926"/>
    <x v="925"/>
    <x v="3"/>
    <x v="0"/>
    <x v="0"/>
    <x v="0"/>
    <n v="5"/>
    <n v="16593"/>
    <n v="21660"/>
    <n v="82965"/>
    <n v="108300"/>
    <n v="25335"/>
  </r>
  <r>
    <s v="ORD-1927"/>
    <x v="926"/>
    <x v="1"/>
    <x v="1"/>
    <x v="1"/>
    <x v="2"/>
    <n v="9"/>
    <n v="33997"/>
    <n v="38959"/>
    <n v="305973"/>
    <n v="350631"/>
    <n v="44658"/>
  </r>
  <r>
    <s v="ORD-1928"/>
    <x v="927"/>
    <x v="3"/>
    <x v="2"/>
    <x v="0"/>
    <x v="3"/>
    <n v="10"/>
    <n v="9833"/>
    <n v="19037"/>
    <n v="98330"/>
    <n v="190370"/>
    <n v="92040"/>
  </r>
  <r>
    <s v="ORD-1929"/>
    <x v="928"/>
    <x v="0"/>
    <x v="1"/>
    <x v="1"/>
    <x v="5"/>
    <n v="8"/>
    <n v="20239"/>
    <n v="28077"/>
    <n v="161912"/>
    <n v="224616"/>
    <n v="62704"/>
  </r>
  <r>
    <s v="ORD-1930"/>
    <x v="929"/>
    <x v="3"/>
    <x v="3"/>
    <x v="1"/>
    <x v="1"/>
    <n v="8"/>
    <n v="3114"/>
    <n v="7046"/>
    <n v="24912"/>
    <n v="56368"/>
    <n v="31456"/>
  </r>
  <r>
    <s v="ORD-1931"/>
    <x v="930"/>
    <x v="0"/>
    <x v="5"/>
    <x v="1"/>
    <x v="2"/>
    <n v="5"/>
    <n v="24468"/>
    <n v="24901"/>
    <n v="122340"/>
    <n v="124505"/>
    <n v="2165"/>
  </r>
  <r>
    <s v="ORD-1932"/>
    <x v="931"/>
    <x v="3"/>
    <x v="3"/>
    <x v="0"/>
    <x v="3"/>
    <n v="6"/>
    <n v="39336"/>
    <n v="41136"/>
    <n v="236016"/>
    <n v="246816"/>
    <n v="10800"/>
  </r>
  <r>
    <s v="ORD-1933"/>
    <x v="932"/>
    <x v="2"/>
    <x v="2"/>
    <x v="1"/>
    <x v="5"/>
    <n v="2"/>
    <n v="21418"/>
    <n v="29524"/>
    <n v="42836"/>
    <n v="59048"/>
    <n v="16212"/>
  </r>
  <r>
    <s v="ORD-1934"/>
    <x v="933"/>
    <x v="1"/>
    <x v="1"/>
    <x v="0"/>
    <x v="0"/>
    <n v="3"/>
    <n v="15055"/>
    <n v="21282"/>
    <n v="45165"/>
    <n v="63846"/>
    <n v="18681"/>
  </r>
  <r>
    <s v="ORD-1935"/>
    <x v="934"/>
    <x v="3"/>
    <x v="1"/>
    <x v="0"/>
    <x v="4"/>
    <n v="4"/>
    <n v="31222"/>
    <n v="35326"/>
    <n v="124888"/>
    <n v="141304"/>
    <n v="16416"/>
  </r>
  <r>
    <s v="ORD-1936"/>
    <x v="935"/>
    <x v="0"/>
    <x v="0"/>
    <x v="1"/>
    <x v="5"/>
    <n v="9"/>
    <n v="36428"/>
    <n v="44213"/>
    <n v="327852"/>
    <n v="397917"/>
    <n v="70065"/>
  </r>
  <r>
    <s v="ORD-1937"/>
    <x v="936"/>
    <x v="2"/>
    <x v="0"/>
    <x v="0"/>
    <x v="0"/>
    <n v="7"/>
    <n v="28791"/>
    <n v="36340"/>
    <n v="201537"/>
    <n v="254380"/>
    <n v="52843"/>
  </r>
  <r>
    <s v="ORD-1938"/>
    <x v="937"/>
    <x v="2"/>
    <x v="5"/>
    <x v="0"/>
    <x v="3"/>
    <n v="1"/>
    <n v="23560"/>
    <n v="24203"/>
    <n v="23560"/>
    <n v="24203"/>
    <n v="643"/>
  </r>
  <r>
    <s v="ORD-1939"/>
    <x v="938"/>
    <x v="3"/>
    <x v="4"/>
    <x v="0"/>
    <x v="4"/>
    <n v="1"/>
    <n v="25737"/>
    <n v="31346"/>
    <n v="25737"/>
    <n v="31346"/>
    <n v="5609"/>
  </r>
  <r>
    <s v="ORD-1940"/>
    <x v="939"/>
    <x v="2"/>
    <x v="1"/>
    <x v="1"/>
    <x v="1"/>
    <n v="1"/>
    <n v="13415"/>
    <n v="19241"/>
    <n v="13415"/>
    <n v="19241"/>
    <n v="5826"/>
  </r>
  <r>
    <s v="ORD-1941"/>
    <x v="940"/>
    <x v="1"/>
    <x v="1"/>
    <x v="0"/>
    <x v="0"/>
    <n v="2"/>
    <n v="17704"/>
    <n v="25263"/>
    <n v="35408"/>
    <n v="50526"/>
    <n v="15118"/>
  </r>
  <r>
    <s v="ORD-1942"/>
    <x v="941"/>
    <x v="3"/>
    <x v="5"/>
    <x v="1"/>
    <x v="5"/>
    <n v="1"/>
    <n v="17561"/>
    <n v="24203"/>
    <n v="17561"/>
    <n v="24203"/>
    <n v="6642"/>
  </r>
  <r>
    <s v="ORD-1943"/>
    <x v="942"/>
    <x v="0"/>
    <x v="5"/>
    <x v="1"/>
    <x v="2"/>
    <n v="10"/>
    <n v="26390"/>
    <n v="35766"/>
    <n v="263900"/>
    <n v="357660"/>
    <n v="93760"/>
  </r>
  <r>
    <s v="ORD-1944"/>
    <x v="943"/>
    <x v="1"/>
    <x v="2"/>
    <x v="1"/>
    <x v="1"/>
    <n v="1"/>
    <n v="14303"/>
    <n v="21925"/>
    <n v="14303"/>
    <n v="21925"/>
    <n v="7622"/>
  </r>
  <r>
    <s v="ORD-1945"/>
    <x v="944"/>
    <x v="1"/>
    <x v="5"/>
    <x v="1"/>
    <x v="2"/>
    <n v="1"/>
    <n v="20070"/>
    <n v="21257"/>
    <n v="20070"/>
    <n v="21257"/>
    <n v="1187"/>
  </r>
  <r>
    <s v="ORD-1946"/>
    <x v="945"/>
    <x v="0"/>
    <x v="3"/>
    <x v="0"/>
    <x v="3"/>
    <n v="3"/>
    <n v="14529"/>
    <n v="16875"/>
    <n v="43587"/>
    <n v="50625"/>
    <n v="7038"/>
  </r>
  <r>
    <s v="ORD-1947"/>
    <x v="946"/>
    <x v="1"/>
    <x v="1"/>
    <x v="1"/>
    <x v="2"/>
    <n v="5"/>
    <n v="36282"/>
    <n v="41513"/>
    <n v="181410"/>
    <n v="207565"/>
    <n v="26155"/>
  </r>
  <r>
    <s v="ORD-1948"/>
    <x v="947"/>
    <x v="2"/>
    <x v="4"/>
    <x v="1"/>
    <x v="5"/>
    <n v="8"/>
    <n v="11839"/>
    <n v="13378"/>
    <n v="94712"/>
    <n v="107024"/>
    <n v="12312"/>
  </r>
  <r>
    <s v="ORD-1949"/>
    <x v="948"/>
    <x v="1"/>
    <x v="5"/>
    <x v="1"/>
    <x v="2"/>
    <n v="4"/>
    <n v="19257"/>
    <n v="20270"/>
    <n v="77028"/>
    <n v="81080"/>
    <n v="4052"/>
  </r>
  <r>
    <s v="ORD-1950"/>
    <x v="949"/>
    <x v="2"/>
    <x v="5"/>
    <x v="0"/>
    <x v="0"/>
    <n v="1"/>
    <n v="11655"/>
    <n v="17277"/>
    <n v="11655"/>
    <n v="17277"/>
    <n v="5622"/>
  </r>
  <r>
    <s v="ORD-1951"/>
    <x v="950"/>
    <x v="0"/>
    <x v="4"/>
    <x v="1"/>
    <x v="2"/>
    <n v="6"/>
    <n v="37692"/>
    <n v="44462"/>
    <n v="226152"/>
    <n v="266772"/>
    <n v="40620"/>
  </r>
  <r>
    <s v="ORD-1952"/>
    <x v="951"/>
    <x v="0"/>
    <x v="3"/>
    <x v="0"/>
    <x v="4"/>
    <n v="3"/>
    <n v="29548"/>
    <n v="31567"/>
    <n v="88644"/>
    <n v="94701"/>
    <n v="6057"/>
  </r>
  <r>
    <s v="ORD-1953"/>
    <x v="952"/>
    <x v="1"/>
    <x v="3"/>
    <x v="1"/>
    <x v="5"/>
    <n v="3"/>
    <n v="25810"/>
    <n v="35054"/>
    <n v="77430"/>
    <n v="105162"/>
    <n v="27732"/>
  </r>
  <r>
    <s v="ORD-1954"/>
    <x v="953"/>
    <x v="1"/>
    <x v="3"/>
    <x v="1"/>
    <x v="1"/>
    <n v="4"/>
    <n v="14123"/>
    <n v="19999"/>
    <n v="56492"/>
    <n v="79996"/>
    <n v="23504"/>
  </r>
  <r>
    <s v="ORD-1955"/>
    <x v="954"/>
    <x v="3"/>
    <x v="1"/>
    <x v="0"/>
    <x v="4"/>
    <n v="2"/>
    <n v="22037"/>
    <n v="26778"/>
    <n v="44074"/>
    <n v="53556"/>
    <n v="9482"/>
  </r>
  <r>
    <s v="ORD-1956"/>
    <x v="955"/>
    <x v="0"/>
    <x v="3"/>
    <x v="1"/>
    <x v="1"/>
    <n v="4"/>
    <n v="913"/>
    <n v="5545"/>
    <n v="3652"/>
    <n v="22180"/>
    <n v="18528"/>
  </r>
  <r>
    <s v="ORD-1957"/>
    <x v="956"/>
    <x v="1"/>
    <x v="0"/>
    <x v="1"/>
    <x v="5"/>
    <n v="4"/>
    <n v="38180"/>
    <n v="43378"/>
    <n v="152720"/>
    <n v="173512"/>
    <n v="20792"/>
  </r>
  <r>
    <s v="ORD-1958"/>
    <x v="957"/>
    <x v="2"/>
    <x v="1"/>
    <x v="1"/>
    <x v="2"/>
    <n v="3"/>
    <n v="18174"/>
    <n v="21380"/>
    <n v="54522"/>
    <n v="64140"/>
    <n v="9618"/>
  </r>
  <r>
    <s v="ORD-1959"/>
    <x v="958"/>
    <x v="0"/>
    <x v="5"/>
    <x v="1"/>
    <x v="1"/>
    <n v="8"/>
    <n v="29986"/>
    <n v="33360"/>
    <n v="239888"/>
    <n v="266880"/>
    <n v="26992"/>
  </r>
  <r>
    <s v="ORD-1960"/>
    <x v="959"/>
    <x v="3"/>
    <x v="3"/>
    <x v="0"/>
    <x v="4"/>
    <n v="3"/>
    <n v="10387"/>
    <n v="13664"/>
    <n v="31161"/>
    <n v="40992"/>
    <n v="9831"/>
  </r>
  <r>
    <s v="ORD-1961"/>
    <x v="960"/>
    <x v="3"/>
    <x v="3"/>
    <x v="1"/>
    <x v="2"/>
    <n v="5"/>
    <n v="20203"/>
    <n v="27971"/>
    <n v="101015"/>
    <n v="139855"/>
    <n v="38840"/>
  </r>
  <r>
    <s v="ORD-1962"/>
    <x v="961"/>
    <x v="3"/>
    <x v="5"/>
    <x v="1"/>
    <x v="2"/>
    <n v="8"/>
    <n v="7947"/>
    <n v="12937"/>
    <n v="63576"/>
    <n v="103496"/>
    <n v="39920"/>
  </r>
  <r>
    <s v="ORD-1963"/>
    <x v="962"/>
    <x v="2"/>
    <x v="5"/>
    <x v="1"/>
    <x v="1"/>
    <n v="9"/>
    <n v="2060"/>
    <n v="5382"/>
    <n v="18540"/>
    <n v="48438"/>
    <n v="29898"/>
  </r>
  <r>
    <s v="ORD-1964"/>
    <x v="963"/>
    <x v="2"/>
    <x v="2"/>
    <x v="1"/>
    <x v="2"/>
    <n v="8"/>
    <n v="6390"/>
    <n v="14530"/>
    <n v="51120"/>
    <n v="116240"/>
    <n v="65120"/>
  </r>
  <r>
    <s v="ORD-1965"/>
    <x v="964"/>
    <x v="3"/>
    <x v="0"/>
    <x v="0"/>
    <x v="3"/>
    <n v="9"/>
    <n v="38898"/>
    <n v="41255"/>
    <n v="350082"/>
    <n v="371295"/>
    <n v="21213"/>
  </r>
  <r>
    <s v="ORD-1966"/>
    <x v="965"/>
    <x v="3"/>
    <x v="5"/>
    <x v="1"/>
    <x v="2"/>
    <n v="8"/>
    <n v="25723"/>
    <n v="34669"/>
    <n v="205784"/>
    <n v="277352"/>
    <n v="71568"/>
  </r>
  <r>
    <s v="ORD-1967"/>
    <x v="966"/>
    <x v="3"/>
    <x v="0"/>
    <x v="0"/>
    <x v="3"/>
    <n v="8"/>
    <n v="21117"/>
    <n v="23532"/>
    <n v="168936"/>
    <n v="188256"/>
    <n v="19320"/>
  </r>
  <r>
    <s v="ORD-1968"/>
    <x v="967"/>
    <x v="3"/>
    <x v="2"/>
    <x v="1"/>
    <x v="1"/>
    <n v="7"/>
    <n v="30286"/>
    <n v="39023"/>
    <n v="212002"/>
    <n v="273161"/>
    <n v="61159"/>
  </r>
  <r>
    <s v="ORD-1969"/>
    <x v="968"/>
    <x v="1"/>
    <x v="4"/>
    <x v="1"/>
    <x v="1"/>
    <n v="7"/>
    <n v="4617"/>
    <n v="5987"/>
    <n v="32319"/>
    <n v="41909"/>
    <n v="9590"/>
  </r>
  <r>
    <s v="ORD-1970"/>
    <x v="969"/>
    <x v="3"/>
    <x v="3"/>
    <x v="1"/>
    <x v="2"/>
    <n v="9"/>
    <n v="35378"/>
    <n v="44624"/>
    <n v="318402"/>
    <n v="401616"/>
    <n v="83214"/>
  </r>
  <r>
    <s v="ORD-1971"/>
    <x v="970"/>
    <x v="0"/>
    <x v="1"/>
    <x v="0"/>
    <x v="3"/>
    <n v="8"/>
    <n v="15904"/>
    <n v="23786"/>
    <n v="127232"/>
    <n v="190288"/>
    <n v="63056"/>
  </r>
  <r>
    <s v="ORD-1972"/>
    <x v="971"/>
    <x v="2"/>
    <x v="5"/>
    <x v="1"/>
    <x v="1"/>
    <n v="6"/>
    <n v="36821"/>
    <n v="39737"/>
    <n v="220926"/>
    <n v="238422"/>
    <n v="17496"/>
  </r>
  <r>
    <s v="ORD-1973"/>
    <x v="972"/>
    <x v="0"/>
    <x v="4"/>
    <x v="0"/>
    <x v="0"/>
    <n v="3"/>
    <n v="15097"/>
    <n v="20532"/>
    <n v="45291"/>
    <n v="61596"/>
    <n v="16305"/>
  </r>
  <r>
    <s v="ORD-1974"/>
    <x v="973"/>
    <x v="3"/>
    <x v="2"/>
    <x v="0"/>
    <x v="0"/>
    <n v="2"/>
    <n v="28470"/>
    <n v="37949"/>
    <n v="56940"/>
    <n v="75898"/>
    <n v="18958"/>
  </r>
  <r>
    <s v="ORD-1975"/>
    <x v="974"/>
    <x v="3"/>
    <x v="5"/>
    <x v="1"/>
    <x v="5"/>
    <n v="8"/>
    <n v="21802"/>
    <n v="30637"/>
    <n v="174416"/>
    <n v="245096"/>
    <n v="70680"/>
  </r>
  <r>
    <s v="ORD-1976"/>
    <x v="975"/>
    <x v="1"/>
    <x v="0"/>
    <x v="1"/>
    <x v="5"/>
    <n v="7"/>
    <n v="35142"/>
    <n v="36525"/>
    <n v="245994"/>
    <n v="255675"/>
    <n v="9681"/>
  </r>
  <r>
    <s v="ORD-1977"/>
    <x v="976"/>
    <x v="1"/>
    <x v="0"/>
    <x v="1"/>
    <x v="1"/>
    <n v="10"/>
    <n v="25458"/>
    <n v="26741"/>
    <n v="254580"/>
    <n v="267410"/>
    <n v="12830"/>
  </r>
  <r>
    <s v="ORD-1978"/>
    <x v="977"/>
    <x v="3"/>
    <x v="4"/>
    <x v="0"/>
    <x v="0"/>
    <n v="1"/>
    <n v="34051"/>
    <n v="34743"/>
    <n v="34051"/>
    <n v="34743"/>
    <n v="692"/>
  </r>
  <r>
    <s v="ORD-1979"/>
    <x v="978"/>
    <x v="3"/>
    <x v="2"/>
    <x v="0"/>
    <x v="0"/>
    <n v="1"/>
    <n v="11366"/>
    <n v="13407"/>
    <n v="11366"/>
    <n v="13407"/>
    <n v="2041"/>
  </r>
  <r>
    <s v="ORD-1980"/>
    <x v="979"/>
    <x v="1"/>
    <x v="0"/>
    <x v="1"/>
    <x v="2"/>
    <n v="7"/>
    <n v="13921"/>
    <n v="14739"/>
    <n v="97447"/>
    <n v="103173"/>
    <n v="5726"/>
  </r>
  <r>
    <s v="ORD-1981"/>
    <x v="980"/>
    <x v="3"/>
    <x v="3"/>
    <x v="0"/>
    <x v="4"/>
    <n v="10"/>
    <n v="9265"/>
    <n v="16340"/>
    <n v="92650"/>
    <n v="163400"/>
    <n v="70750"/>
  </r>
  <r>
    <s v="ORD-1982"/>
    <x v="981"/>
    <x v="1"/>
    <x v="0"/>
    <x v="1"/>
    <x v="5"/>
    <n v="2"/>
    <n v="26990"/>
    <n v="33262"/>
    <n v="53980"/>
    <n v="66524"/>
    <n v="12544"/>
  </r>
  <r>
    <s v="ORD-1983"/>
    <x v="982"/>
    <x v="3"/>
    <x v="1"/>
    <x v="0"/>
    <x v="3"/>
    <n v="2"/>
    <n v="22904"/>
    <n v="31832"/>
    <n v="45808"/>
    <n v="63664"/>
    <n v="17856"/>
  </r>
  <r>
    <s v="ORD-1984"/>
    <x v="983"/>
    <x v="2"/>
    <x v="3"/>
    <x v="0"/>
    <x v="0"/>
    <n v="2"/>
    <n v="10200"/>
    <n v="19241"/>
    <n v="20400"/>
    <n v="38482"/>
    <n v="18082"/>
  </r>
  <r>
    <s v="ORD-1985"/>
    <x v="984"/>
    <x v="2"/>
    <x v="5"/>
    <x v="0"/>
    <x v="3"/>
    <n v="3"/>
    <n v="18600"/>
    <n v="24967"/>
    <n v="55800"/>
    <n v="74901"/>
    <n v="19101"/>
  </r>
  <r>
    <s v="ORD-1986"/>
    <x v="985"/>
    <x v="2"/>
    <x v="1"/>
    <x v="1"/>
    <x v="5"/>
    <n v="4"/>
    <n v="39975"/>
    <n v="43568"/>
    <n v="159900"/>
    <n v="174272"/>
    <n v="14372"/>
  </r>
  <r>
    <s v="ORD-1987"/>
    <x v="986"/>
    <x v="1"/>
    <x v="5"/>
    <x v="1"/>
    <x v="1"/>
    <n v="3"/>
    <n v="17392"/>
    <n v="22142"/>
    <n v="52176"/>
    <n v="66426"/>
    <n v="14250"/>
  </r>
  <r>
    <s v="ORD-1988"/>
    <x v="987"/>
    <x v="0"/>
    <x v="0"/>
    <x v="1"/>
    <x v="5"/>
    <n v="6"/>
    <n v="14288"/>
    <n v="23843"/>
    <n v="85728"/>
    <n v="143058"/>
    <n v="57330"/>
  </r>
  <r>
    <s v="ORD-1989"/>
    <x v="988"/>
    <x v="1"/>
    <x v="0"/>
    <x v="0"/>
    <x v="0"/>
    <n v="8"/>
    <n v="7081"/>
    <n v="12601"/>
    <n v="56648"/>
    <n v="100808"/>
    <n v="44160"/>
  </r>
  <r>
    <s v="ORD-1990"/>
    <x v="989"/>
    <x v="0"/>
    <x v="2"/>
    <x v="1"/>
    <x v="1"/>
    <n v="2"/>
    <n v="11952"/>
    <n v="20595"/>
    <n v="23904"/>
    <n v="41190"/>
    <n v="17286"/>
  </r>
  <r>
    <s v="ORD-1991"/>
    <x v="990"/>
    <x v="1"/>
    <x v="4"/>
    <x v="1"/>
    <x v="5"/>
    <n v="4"/>
    <n v="19410"/>
    <n v="20626"/>
    <n v="77640"/>
    <n v="82504"/>
    <n v="4864"/>
  </r>
  <r>
    <s v="ORD-1992"/>
    <x v="991"/>
    <x v="0"/>
    <x v="3"/>
    <x v="0"/>
    <x v="3"/>
    <n v="3"/>
    <n v="29187"/>
    <n v="32082"/>
    <n v="87561"/>
    <n v="96246"/>
    <n v="8685"/>
  </r>
  <r>
    <s v="ORD-1993"/>
    <x v="992"/>
    <x v="1"/>
    <x v="0"/>
    <x v="0"/>
    <x v="3"/>
    <n v="10"/>
    <n v="19042"/>
    <n v="21257"/>
    <n v="190420"/>
    <n v="212570"/>
    <n v="22150"/>
  </r>
  <r>
    <s v="ORD-1994"/>
    <x v="993"/>
    <x v="3"/>
    <x v="5"/>
    <x v="1"/>
    <x v="1"/>
    <n v="7"/>
    <n v="16048"/>
    <n v="16326"/>
    <n v="112336"/>
    <n v="114282"/>
    <n v="1946"/>
  </r>
  <r>
    <s v="ORD-1995"/>
    <x v="994"/>
    <x v="0"/>
    <x v="2"/>
    <x v="1"/>
    <x v="2"/>
    <n v="6"/>
    <n v="33812"/>
    <n v="43263"/>
    <n v="202872"/>
    <n v="259578"/>
    <n v="56706"/>
  </r>
  <r>
    <s v="ORD-1996"/>
    <x v="995"/>
    <x v="2"/>
    <x v="3"/>
    <x v="0"/>
    <x v="4"/>
    <n v="10"/>
    <n v="11329"/>
    <n v="11827"/>
    <n v="113290"/>
    <n v="118270"/>
    <n v="4980"/>
  </r>
  <r>
    <s v="ORD-1997"/>
    <x v="996"/>
    <x v="1"/>
    <x v="3"/>
    <x v="1"/>
    <x v="5"/>
    <n v="9"/>
    <n v="14704"/>
    <n v="21844"/>
    <n v="132336"/>
    <n v="196596"/>
    <n v="64260"/>
  </r>
  <r>
    <s v="ORD-1998"/>
    <x v="997"/>
    <x v="1"/>
    <x v="2"/>
    <x v="0"/>
    <x v="0"/>
    <n v="3"/>
    <n v="18202"/>
    <n v="22196"/>
    <n v="54606"/>
    <n v="66588"/>
    <n v="11982"/>
  </r>
  <r>
    <s v="ORD-1999"/>
    <x v="998"/>
    <x v="0"/>
    <x v="5"/>
    <x v="1"/>
    <x v="2"/>
    <n v="10"/>
    <n v="7238"/>
    <n v="9876"/>
    <n v="72380"/>
    <n v="98760"/>
    <n v="26380"/>
  </r>
  <r>
    <s v="ORD-2000"/>
    <x v="999"/>
    <x v="1"/>
    <x v="1"/>
    <x v="0"/>
    <x v="4"/>
    <n v="4"/>
    <n v="27876"/>
    <n v="34141"/>
    <n v="111504"/>
    <n v="136564"/>
    <n v="25060"/>
  </r>
  <r>
    <s v="ORD-2001"/>
    <x v="1000"/>
    <x v="3"/>
    <x v="3"/>
    <x v="0"/>
    <x v="0"/>
    <n v="3"/>
    <n v="36655"/>
    <n v="37015"/>
    <n v="109965"/>
    <n v="111045"/>
    <n v="1080"/>
  </r>
  <r>
    <s v="ORD-2002"/>
    <x v="1001"/>
    <x v="1"/>
    <x v="4"/>
    <x v="0"/>
    <x v="4"/>
    <n v="5"/>
    <n v="21165"/>
    <n v="22995"/>
    <n v="105825"/>
    <n v="114975"/>
    <n v="9150"/>
  </r>
  <r>
    <s v="ORD-2003"/>
    <x v="1002"/>
    <x v="3"/>
    <x v="3"/>
    <x v="0"/>
    <x v="3"/>
    <n v="7"/>
    <n v="7948"/>
    <n v="11686"/>
    <n v="55636"/>
    <n v="81802"/>
    <n v="26166"/>
  </r>
  <r>
    <s v="ORD-2004"/>
    <x v="1003"/>
    <x v="1"/>
    <x v="5"/>
    <x v="1"/>
    <x v="1"/>
    <n v="5"/>
    <n v="12571"/>
    <n v="20774"/>
    <n v="62855"/>
    <n v="103870"/>
    <n v="41015"/>
  </r>
  <r>
    <s v="ORD-2005"/>
    <x v="1004"/>
    <x v="2"/>
    <x v="3"/>
    <x v="0"/>
    <x v="0"/>
    <n v="7"/>
    <n v="28576"/>
    <n v="33522"/>
    <n v="200032"/>
    <n v="234654"/>
    <n v="34622"/>
  </r>
  <r>
    <s v="ORD-2006"/>
    <x v="1005"/>
    <x v="0"/>
    <x v="0"/>
    <x v="1"/>
    <x v="5"/>
    <n v="3"/>
    <n v="37438"/>
    <n v="40026"/>
    <n v="112314"/>
    <n v="120078"/>
    <n v="7764"/>
  </r>
  <r>
    <s v="ORD-2007"/>
    <x v="1006"/>
    <x v="1"/>
    <x v="0"/>
    <x v="0"/>
    <x v="0"/>
    <n v="5"/>
    <n v="26503"/>
    <n v="35002"/>
    <n v="132515"/>
    <n v="175010"/>
    <n v="42495"/>
  </r>
  <r>
    <s v="ORD-2008"/>
    <x v="1007"/>
    <x v="0"/>
    <x v="3"/>
    <x v="1"/>
    <x v="2"/>
    <n v="5"/>
    <n v="29345"/>
    <n v="37658"/>
    <n v="146725"/>
    <n v="188290"/>
    <n v="41565"/>
  </r>
  <r>
    <s v="ORD-2009"/>
    <x v="1008"/>
    <x v="3"/>
    <x v="1"/>
    <x v="0"/>
    <x v="3"/>
    <n v="8"/>
    <n v="35019"/>
    <n v="39344"/>
    <n v="280152"/>
    <n v="314752"/>
    <n v="34600"/>
  </r>
  <r>
    <s v="ORD-2010"/>
    <x v="1009"/>
    <x v="3"/>
    <x v="5"/>
    <x v="1"/>
    <x v="5"/>
    <n v="8"/>
    <n v="2405"/>
    <n v="7433"/>
    <n v="19240"/>
    <n v="59464"/>
    <n v="40224"/>
  </r>
  <r>
    <s v="ORD-2011"/>
    <x v="1010"/>
    <x v="0"/>
    <x v="4"/>
    <x v="0"/>
    <x v="3"/>
    <n v="3"/>
    <n v="23931"/>
    <n v="25959"/>
    <n v="71793"/>
    <n v="77877"/>
    <n v="6084"/>
  </r>
  <r>
    <s v="ORD-2012"/>
    <x v="1011"/>
    <x v="2"/>
    <x v="5"/>
    <x v="1"/>
    <x v="5"/>
    <n v="9"/>
    <n v="2427"/>
    <n v="2858"/>
    <n v="21843"/>
    <n v="25722"/>
    <n v="3879"/>
  </r>
  <r>
    <s v="ORD-2013"/>
    <x v="1012"/>
    <x v="3"/>
    <x v="4"/>
    <x v="1"/>
    <x v="2"/>
    <n v="7"/>
    <n v="11433"/>
    <n v="16098"/>
    <n v="80031"/>
    <n v="112686"/>
    <n v="32655"/>
  </r>
  <r>
    <s v="ORD-2014"/>
    <x v="1013"/>
    <x v="2"/>
    <x v="5"/>
    <x v="1"/>
    <x v="1"/>
    <n v="3"/>
    <n v="8943"/>
    <n v="16412"/>
    <n v="26829"/>
    <n v="49236"/>
    <n v="22407"/>
  </r>
  <r>
    <s v="ORD-2015"/>
    <x v="1014"/>
    <x v="1"/>
    <x v="1"/>
    <x v="0"/>
    <x v="4"/>
    <n v="6"/>
    <n v="9032"/>
    <n v="10792"/>
    <n v="54192"/>
    <n v="64752"/>
    <n v="10560"/>
  </r>
  <r>
    <s v="ORD-2016"/>
    <x v="1015"/>
    <x v="0"/>
    <x v="1"/>
    <x v="0"/>
    <x v="4"/>
    <n v="7"/>
    <n v="39346"/>
    <n v="46565"/>
    <n v="275422"/>
    <n v="325955"/>
    <n v="50533"/>
  </r>
  <r>
    <s v="ORD-2017"/>
    <x v="1016"/>
    <x v="2"/>
    <x v="3"/>
    <x v="1"/>
    <x v="5"/>
    <n v="4"/>
    <n v="39425"/>
    <n v="41215"/>
    <n v="157700"/>
    <n v="164860"/>
    <n v="7160"/>
  </r>
  <r>
    <s v="ORD-2018"/>
    <x v="1017"/>
    <x v="0"/>
    <x v="1"/>
    <x v="1"/>
    <x v="5"/>
    <n v="6"/>
    <n v="9908"/>
    <n v="11450"/>
    <n v="59448"/>
    <n v="68700"/>
    <n v="9252"/>
  </r>
  <r>
    <s v="ORD-2019"/>
    <x v="1018"/>
    <x v="2"/>
    <x v="5"/>
    <x v="0"/>
    <x v="0"/>
    <n v="5"/>
    <n v="16475"/>
    <n v="24802"/>
    <n v="82375"/>
    <n v="124010"/>
    <n v="41635"/>
  </r>
  <r>
    <s v="ORD-2020"/>
    <x v="1019"/>
    <x v="0"/>
    <x v="2"/>
    <x v="1"/>
    <x v="5"/>
    <n v="9"/>
    <n v="6368"/>
    <n v="13954"/>
    <n v="57312"/>
    <n v="125586"/>
    <n v="68274"/>
  </r>
  <r>
    <s v="ORD-2021"/>
    <x v="1020"/>
    <x v="3"/>
    <x v="1"/>
    <x v="1"/>
    <x v="2"/>
    <n v="5"/>
    <n v="26203"/>
    <n v="32651"/>
    <n v="131015"/>
    <n v="163255"/>
    <n v="32240"/>
  </r>
  <r>
    <s v="ORD-2022"/>
    <x v="1021"/>
    <x v="0"/>
    <x v="2"/>
    <x v="1"/>
    <x v="1"/>
    <n v="10"/>
    <n v="15749"/>
    <n v="24248"/>
    <n v="157490"/>
    <n v="242480"/>
    <n v="84990"/>
  </r>
  <r>
    <s v="ORD-2023"/>
    <x v="1022"/>
    <x v="3"/>
    <x v="5"/>
    <x v="1"/>
    <x v="2"/>
    <n v="6"/>
    <n v="28614"/>
    <n v="34277"/>
    <n v="171684"/>
    <n v="205662"/>
    <n v="33978"/>
  </r>
  <r>
    <s v="ORD-2024"/>
    <x v="1023"/>
    <x v="2"/>
    <x v="3"/>
    <x v="1"/>
    <x v="5"/>
    <n v="1"/>
    <n v="26860"/>
    <n v="34641"/>
    <n v="26860"/>
    <n v="34641"/>
    <n v="7781"/>
  </r>
  <r>
    <s v="ORD-2025"/>
    <x v="1024"/>
    <x v="3"/>
    <x v="4"/>
    <x v="0"/>
    <x v="4"/>
    <n v="8"/>
    <n v="32624"/>
    <n v="40754"/>
    <n v="260992"/>
    <n v="326032"/>
    <n v="65040"/>
  </r>
  <r>
    <s v="ORD-2026"/>
    <x v="1025"/>
    <x v="0"/>
    <x v="3"/>
    <x v="1"/>
    <x v="1"/>
    <n v="6"/>
    <n v="10307"/>
    <n v="14915"/>
    <n v="61842"/>
    <n v="89490"/>
    <n v="27648"/>
  </r>
  <r>
    <s v="ORD-2027"/>
    <x v="1026"/>
    <x v="2"/>
    <x v="3"/>
    <x v="0"/>
    <x v="0"/>
    <n v="1"/>
    <n v="9932"/>
    <n v="16330"/>
    <n v="9932"/>
    <n v="16330"/>
    <n v="6398"/>
  </r>
  <r>
    <s v="ORD-2028"/>
    <x v="1027"/>
    <x v="1"/>
    <x v="5"/>
    <x v="0"/>
    <x v="0"/>
    <n v="9"/>
    <n v="5092"/>
    <n v="14487"/>
    <n v="45828"/>
    <n v="130383"/>
    <n v="84555"/>
  </r>
  <r>
    <s v="ORD-2029"/>
    <x v="1028"/>
    <x v="3"/>
    <x v="3"/>
    <x v="0"/>
    <x v="3"/>
    <n v="6"/>
    <n v="39336"/>
    <n v="41136"/>
    <n v="236016"/>
    <n v="246816"/>
    <n v="10800"/>
  </r>
  <r>
    <s v="ORD-2030"/>
    <x v="1029"/>
    <x v="2"/>
    <x v="2"/>
    <x v="1"/>
    <x v="5"/>
    <n v="2"/>
    <n v="21418"/>
    <n v="29524"/>
    <n v="42836"/>
    <n v="59048"/>
    <n v="16212"/>
  </r>
  <r>
    <s v="ORD-2031"/>
    <x v="1030"/>
    <x v="1"/>
    <x v="1"/>
    <x v="0"/>
    <x v="0"/>
    <n v="3"/>
    <n v="15055"/>
    <n v="21282"/>
    <n v="45165"/>
    <n v="63846"/>
    <n v="18681"/>
  </r>
  <r>
    <s v="ORD-2032"/>
    <x v="1031"/>
    <x v="3"/>
    <x v="1"/>
    <x v="0"/>
    <x v="4"/>
    <n v="4"/>
    <n v="31222"/>
    <n v="35326"/>
    <n v="124888"/>
    <n v="141304"/>
    <n v="16416"/>
  </r>
  <r>
    <s v="ORD-2033"/>
    <x v="1032"/>
    <x v="0"/>
    <x v="0"/>
    <x v="1"/>
    <x v="5"/>
    <n v="9"/>
    <n v="36428"/>
    <n v="44213"/>
    <n v="327852"/>
    <n v="397917"/>
    <n v="70065"/>
  </r>
  <r>
    <s v="ORD-2034"/>
    <x v="1033"/>
    <x v="2"/>
    <x v="0"/>
    <x v="0"/>
    <x v="0"/>
    <n v="7"/>
    <n v="28791"/>
    <n v="36340"/>
    <n v="201537"/>
    <n v="254380"/>
    <n v="52843"/>
  </r>
  <r>
    <s v="ORD-2035"/>
    <x v="1034"/>
    <x v="2"/>
    <x v="5"/>
    <x v="0"/>
    <x v="3"/>
    <n v="1"/>
    <n v="23560"/>
    <n v="24203"/>
    <n v="23560"/>
    <n v="24203"/>
    <n v="643"/>
  </r>
  <r>
    <s v="ORD-2036"/>
    <x v="1035"/>
    <x v="3"/>
    <x v="4"/>
    <x v="0"/>
    <x v="4"/>
    <n v="1"/>
    <n v="25737"/>
    <n v="31346"/>
    <n v="25737"/>
    <n v="31346"/>
    <n v="5609"/>
  </r>
  <r>
    <s v="ORD-2037"/>
    <x v="1036"/>
    <x v="2"/>
    <x v="1"/>
    <x v="1"/>
    <x v="1"/>
    <n v="1"/>
    <n v="13415"/>
    <n v="19241"/>
    <n v="13415"/>
    <n v="19241"/>
    <n v="5826"/>
  </r>
  <r>
    <s v="ORD-2038"/>
    <x v="1037"/>
    <x v="1"/>
    <x v="1"/>
    <x v="0"/>
    <x v="0"/>
    <n v="2"/>
    <n v="17704"/>
    <n v="25263"/>
    <n v="35408"/>
    <n v="50526"/>
    <n v="15118"/>
  </r>
  <r>
    <s v="ORD-2039"/>
    <x v="1038"/>
    <x v="3"/>
    <x v="5"/>
    <x v="1"/>
    <x v="5"/>
    <n v="1"/>
    <n v="17561"/>
    <n v="24203"/>
    <n v="17561"/>
    <n v="24203"/>
    <n v="6642"/>
  </r>
  <r>
    <s v="ORD-2040"/>
    <x v="1039"/>
    <x v="0"/>
    <x v="5"/>
    <x v="1"/>
    <x v="2"/>
    <n v="10"/>
    <n v="26390"/>
    <n v="35766"/>
    <n v="263900"/>
    <n v="357660"/>
    <n v="93760"/>
  </r>
  <r>
    <s v="ORD-2041"/>
    <x v="1040"/>
    <x v="1"/>
    <x v="2"/>
    <x v="1"/>
    <x v="1"/>
    <n v="1"/>
    <n v="14303"/>
    <n v="21925"/>
    <n v="14303"/>
    <n v="21925"/>
    <n v="7622"/>
  </r>
  <r>
    <s v="ORD-2042"/>
    <x v="1041"/>
    <x v="1"/>
    <x v="5"/>
    <x v="1"/>
    <x v="2"/>
    <n v="1"/>
    <n v="20070"/>
    <n v="21257"/>
    <n v="20070"/>
    <n v="21257"/>
    <n v="1187"/>
  </r>
  <r>
    <s v="ORD-2043"/>
    <x v="1042"/>
    <x v="0"/>
    <x v="3"/>
    <x v="0"/>
    <x v="3"/>
    <n v="3"/>
    <n v="14529"/>
    <n v="16875"/>
    <n v="43587"/>
    <n v="50625"/>
    <n v="7038"/>
  </r>
  <r>
    <s v="ORD-2044"/>
    <x v="1043"/>
    <x v="1"/>
    <x v="1"/>
    <x v="1"/>
    <x v="2"/>
    <n v="5"/>
    <n v="36282"/>
    <n v="41513"/>
    <n v="181410"/>
    <n v="207565"/>
    <n v="26155"/>
  </r>
  <r>
    <s v="ORD-2045"/>
    <x v="1044"/>
    <x v="2"/>
    <x v="4"/>
    <x v="1"/>
    <x v="5"/>
    <n v="8"/>
    <n v="11839"/>
    <n v="13378"/>
    <n v="94712"/>
    <n v="107024"/>
    <n v="12312"/>
  </r>
  <r>
    <s v="ORD-2046"/>
    <x v="1045"/>
    <x v="1"/>
    <x v="5"/>
    <x v="1"/>
    <x v="2"/>
    <n v="4"/>
    <n v="19257"/>
    <n v="20270"/>
    <n v="77028"/>
    <n v="81080"/>
    <n v="4052"/>
  </r>
  <r>
    <s v="ORD-2047"/>
    <x v="1046"/>
    <x v="2"/>
    <x v="5"/>
    <x v="0"/>
    <x v="0"/>
    <n v="1"/>
    <n v="11655"/>
    <n v="17277"/>
    <n v="11655"/>
    <n v="17277"/>
    <n v="5622"/>
  </r>
  <r>
    <s v="ORD-2048"/>
    <x v="1047"/>
    <x v="0"/>
    <x v="4"/>
    <x v="1"/>
    <x v="2"/>
    <n v="6"/>
    <n v="37692"/>
    <n v="44462"/>
    <n v="226152"/>
    <n v="266772"/>
    <n v="40620"/>
  </r>
  <r>
    <s v="ORD-2049"/>
    <x v="1048"/>
    <x v="0"/>
    <x v="3"/>
    <x v="0"/>
    <x v="4"/>
    <n v="3"/>
    <n v="29548"/>
    <n v="31567"/>
    <n v="88644"/>
    <n v="94701"/>
    <n v="60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A3BD5-B013-4008-8D32-5B445FF74966}" name="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6" firstHeaderRow="1" firstDataRow="1" firstDataCol="1"/>
  <pivotFields count="12">
    <pivotField showAll="0"/>
    <pivotField numFmtId="22"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items count="7">
        <item x="1"/>
        <item x="0"/>
        <item x="5"/>
        <item x="3"/>
        <item x="4"/>
        <item x="2"/>
        <item t="default"/>
      </items>
    </pivotField>
    <pivotField axis="axisRow" showAll="0">
      <items count="3">
        <item x="1"/>
        <item x="0"/>
        <item t="default"/>
      </items>
    </pivotField>
    <pivotField showAll="0">
      <items count="7">
        <item x="2"/>
        <item x="5"/>
        <item x="0"/>
        <item x="1"/>
        <item x="3"/>
        <item x="4"/>
        <item t="default"/>
      </items>
    </pivotField>
    <pivotField showAll="0"/>
    <pivotField showAll="0"/>
    <pivotField showAll="0"/>
    <pivotField showAll="0"/>
    <pivotField showAll="0"/>
    <pivotField dataField="1" showAll="0"/>
  </pivotFields>
  <rowFields count="1">
    <field x="4"/>
  </rowFields>
  <rowItems count="3">
    <i>
      <x/>
    </i>
    <i>
      <x v="1"/>
    </i>
    <i t="grand">
      <x/>
    </i>
  </rowItems>
  <colItems count="1">
    <i/>
  </colItems>
  <dataFields count="1">
    <dataField name="Sum of Profit" fld="11" baseField="0" baseItem="0"/>
  </dataFields>
  <chartFormats count="3">
    <chartFormat chart="8" format="8"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4" count="1" selected="0">
            <x v="0"/>
          </reference>
        </references>
      </pivotArea>
    </chartFormat>
    <chartFormat chart="8" format="15">
      <pivotArea type="data" outline="0" fieldPosition="0">
        <references count="2">
          <reference field="4294967294" count="1" selected="0">
            <x v="0"/>
          </reference>
          <reference field="4" count="1" selected="0">
            <x v="1"/>
          </reference>
        </references>
      </pivotArea>
    </chartFormat>
  </chartFormats>
  <pivotTableStyleInfo name="PivotStyleLight20 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BBB561-451B-482F-AF55-3182F5A819F0}" name="PivotTable2" cacheId="0"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F9:G22" firstHeaderRow="1" firstDataRow="1" firstDataCol="1"/>
  <pivotFields count="12">
    <pivotField showAll="0"/>
    <pivotField axis="axisRow" numFmtId="22" showAll="0" sortType="ascending">
      <items count="15">
        <item x="1"/>
        <item x="2"/>
        <item x="3"/>
        <item x="4"/>
        <item x="5"/>
        <item x="6"/>
        <item x="7"/>
        <item x="8"/>
        <item x="9"/>
        <item x="10"/>
        <item x="11"/>
        <item x="12"/>
        <item x="0"/>
        <item x="13"/>
        <item t="default"/>
      </items>
    </pivotField>
    <pivotField showAll="0">
      <items count="5">
        <item x="1"/>
        <item x="3"/>
        <item x="0"/>
        <item x="2"/>
        <item t="default"/>
      </items>
    </pivotField>
    <pivotField showAll="0">
      <items count="7">
        <item x="1"/>
        <item x="0"/>
        <item x="5"/>
        <item x="3"/>
        <item x="4"/>
        <item x="2"/>
        <item t="default"/>
      </items>
    </pivotField>
    <pivotField showAll="0">
      <items count="3">
        <item x="1"/>
        <item x="0"/>
        <item t="default"/>
      </items>
    </pivotField>
    <pivotField showAll="0">
      <items count="7">
        <item x="2"/>
        <item x="5"/>
        <item x="0"/>
        <item x="1"/>
        <item x="3"/>
        <item x="4"/>
        <item t="default"/>
      </items>
    </pivotField>
    <pivotField showAll="0"/>
    <pivotField showAll="0"/>
    <pivotField showAll="0"/>
    <pivotField showAll="0"/>
    <pivotField dataField="1"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Total Sales" fld="10" baseField="0" baseItem="0"/>
  </dataFields>
  <chartFormats count="5">
    <chartFormat chart="0"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9" format="2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67E078-F6D0-4DA2-B593-37DCCFA5CA6D}" name="produc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25:C31" firstHeaderRow="0" firstDataRow="1" firstDataCol="1"/>
  <pivotFields count="12">
    <pivotField showAll="0"/>
    <pivotField numFmtId="22"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items count="7">
        <item x="1"/>
        <item x="0"/>
        <item x="5"/>
        <item x="3"/>
        <item x="4"/>
        <item x="2"/>
        <item t="default"/>
      </items>
    </pivotField>
    <pivotField showAll="0">
      <items count="3">
        <item x="1"/>
        <item x="0"/>
        <item t="default"/>
      </items>
    </pivotField>
    <pivotField axis="axisRow" showAll="0" measureFilter="1" sortType="a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dataField="1" showAll="0"/>
    <pivotField showAll="0"/>
  </pivotFields>
  <rowFields count="1">
    <field x="5"/>
  </rowFields>
  <rowItems count="6">
    <i>
      <x v="1"/>
    </i>
    <i>
      <x v="5"/>
    </i>
    <i>
      <x v="2"/>
    </i>
    <i>
      <x/>
    </i>
    <i>
      <x v="3"/>
    </i>
    <i t="grand">
      <x/>
    </i>
  </rowItems>
  <colFields count="1">
    <field x="-2"/>
  </colFields>
  <colItems count="2">
    <i>
      <x/>
    </i>
    <i i="1">
      <x v="1"/>
    </i>
  </colItems>
  <dataFields count="2">
    <dataField name="Sum of Total Sales" fld="10" baseField="0" baseItem="0"/>
    <dataField name="Sum of Quantity" fld="6" baseField="0" baseItem="0"/>
  </dataFields>
  <chartFormats count="3">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1"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2C1FF8-0627-4B89-8A9A-688F55DC8AFC}" name="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5:B40" firstHeaderRow="1" firstDataRow="1" firstDataCol="1"/>
  <pivotFields count="12">
    <pivotField showAll="0"/>
    <pivotField numFmtId="22" showAll="0">
      <items count="15">
        <item x="0"/>
        <item x="1"/>
        <item x="2"/>
        <item x="3"/>
        <item x="4"/>
        <item x="5"/>
        <item x="6"/>
        <item x="7"/>
        <item x="8"/>
        <item x="9"/>
        <item x="10"/>
        <item x="11"/>
        <item x="12"/>
        <item x="13"/>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items count="7">
        <item x="1"/>
        <item x="0"/>
        <item x="5"/>
        <item x="3"/>
        <item x="4"/>
        <item x="2"/>
        <item t="default"/>
      </items>
    </pivotField>
    <pivotField showAll="0">
      <items count="3">
        <item x="1"/>
        <item x="0"/>
        <item t="default"/>
      </items>
    </pivotField>
    <pivotField showAll="0">
      <items count="7">
        <item x="2"/>
        <item x="5"/>
        <item x="0"/>
        <item x="1"/>
        <item x="3"/>
        <item x="4"/>
        <item t="default"/>
      </items>
    </pivotField>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 Sales" fld="10" baseField="2" baseItem="0" numFmtId="167"/>
  </dataFields>
  <chartFormats count="2">
    <chartFormat chart="10" format="1"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4E42FD-71CE-4DEC-A026-B609693CB168}" name="Sale pers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Neha">
  <location ref="A43:B49" firstHeaderRow="1" firstDataRow="1" firstDataCol="1"/>
  <pivotFields count="12">
    <pivotField showAll="0"/>
    <pivotField numFmtId="22" showAll="0">
      <items count="15">
        <item x="0"/>
        <item x="1"/>
        <item x="2"/>
        <item x="3"/>
        <item x="4"/>
        <item x="5"/>
        <item x="6"/>
        <item x="7"/>
        <item x="8"/>
        <item x="9"/>
        <item x="10"/>
        <item x="11"/>
        <item x="12"/>
        <item x="13"/>
        <item t="default"/>
      </items>
    </pivotField>
    <pivotField showAll="0">
      <items count="5">
        <item x="1"/>
        <item x="3"/>
        <item x="0"/>
        <item x="2"/>
        <item t="default"/>
      </items>
    </pivotField>
    <pivotField axis="axisRow" showAll="0" measureFilter="1" sortType="descending">
      <items count="7">
        <item x="1"/>
        <item x="0"/>
        <item x="5"/>
        <item x="3"/>
        <item x="4"/>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7">
        <item x="2"/>
        <item x="5"/>
        <item x="0"/>
        <item x="1"/>
        <item x="3"/>
        <item x="4"/>
        <item t="default"/>
      </items>
    </pivotField>
    <pivotField showAll="0"/>
    <pivotField showAll="0"/>
    <pivotField showAll="0"/>
    <pivotField showAll="0"/>
    <pivotField dataField="1" showAll="0"/>
    <pivotField showAll="0"/>
  </pivotFields>
  <rowFields count="1">
    <field x="3"/>
  </rowFields>
  <rowItems count="6">
    <i>
      <x/>
    </i>
    <i>
      <x v="3"/>
    </i>
    <i>
      <x v="2"/>
    </i>
    <i>
      <x v="1"/>
    </i>
    <i>
      <x v="5"/>
    </i>
    <i t="grand">
      <x/>
    </i>
  </rowItems>
  <colItems count="1">
    <i/>
  </colItems>
  <dataFields count="1">
    <dataField name="Sum of Total Sales" fld="10" baseField="3" baseItem="0" numFmtId="167"/>
  </dataFields>
  <chartFormats count="2">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260D64-A4B3-4641-8BA4-5C3DB2C35B35}" name="PivotTable1" cacheId="0"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9:D22" firstHeaderRow="0" firstDataRow="1" firstDataCol="1"/>
  <pivotFields count="12">
    <pivotField showAll="0"/>
    <pivotField axis="axisRow" numFmtId="22"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items count="7">
        <item x="1"/>
        <item x="0"/>
        <item x="5"/>
        <item x="3"/>
        <item x="4"/>
        <item x="2"/>
        <item t="default"/>
      </items>
    </pivotField>
    <pivotField showAll="0">
      <items count="3">
        <item x="1"/>
        <item x="0"/>
        <item t="default"/>
      </items>
    </pivotField>
    <pivotField showAll="0">
      <items count="7">
        <item x="2"/>
        <item x="5"/>
        <item x="0"/>
        <item x="1"/>
        <item x="3"/>
        <item x="4"/>
        <item t="default"/>
      </items>
    </pivotField>
    <pivotField showAll="0"/>
    <pivotField showAll="0"/>
    <pivotField showAll="0"/>
    <pivotField showAll="0"/>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Total Sales" fld="10" baseField="0" baseItem="0"/>
    <dataField name="Sum of Profit" fld="11" baseField="0" baseItem="0"/>
    <dataField name="Average of Total Sales2" fld="10" subtotal="average" baseField="1" baseItem="0"/>
  </dataFields>
  <formats count="1">
    <format dxfId="5">
      <pivotArea field="1" grandRow="1" outline="0" collapsedLevelsAreSubtotals="1" axis="axisRow" fieldPosition="0">
        <references count="1">
          <reference field="4294967294" count="1" selected="0">
            <x v="2"/>
          </reference>
        </references>
      </pivotArea>
    </format>
  </formats>
  <chartFormats count="2">
    <chartFormat chart="0"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3C8AE0C1-F9FF-4857-B0DD-AFEDAAA5A535}" autoFormatId="16" applyNumberFormats="0" applyBorderFormats="0" applyFontFormats="0" applyPatternFormats="0" applyAlignmentFormats="0" applyWidthHeightFormats="0">
  <queryTableRefresh nextId="13">
    <queryTableFields count="12">
      <queryTableField id="1" name="Order ID" tableColumnId="1"/>
      <queryTableField id="2" name="Order Date" tableColumnId="2"/>
      <queryTableField id="3" name="Region" tableColumnId="3"/>
      <queryTableField id="4" name="Sales Person" tableColumnId="4"/>
      <queryTableField id="5" name="Category" tableColumnId="5"/>
      <queryTableField id="6" name="Product" tableColumnId="6"/>
      <queryTableField id="7" name="Quantity" tableColumnId="7"/>
      <queryTableField id="8" name="Cost Price" tableColumnId="8"/>
      <queryTableField id="9" name="Selling Price" tableColumnId="9"/>
      <queryTableField id="10" name="Total Cost" tableColumnId="10"/>
      <queryTableField id="11" name="Total Sales" tableColumnId="11"/>
      <queryTableField id="12" name="Profi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4C2703-8E94-4ECD-B48F-8F16BDAFD46F}" sourceName="Category">
  <pivotTables>
    <pivotTable tabId="12" name="Category"/>
    <pivotTable tabId="12" name="PivotTable1"/>
    <pivotTable tabId="12" name="product"/>
    <pivotTable tabId="12" name="Region"/>
    <pivotTable tabId="12" name="Sale person"/>
    <pivotTable tabId="12" name="PivotTable2"/>
  </pivotTables>
  <data>
    <tabular pivotCacheId="179923257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02A0D3-3BD5-40DD-817D-3B4389057F6D}" sourceName="Region">
  <pivotTables>
    <pivotTable tabId="12" name="Region"/>
    <pivotTable tabId="12" name="Category"/>
    <pivotTable tabId="12" name="PivotTable1"/>
    <pivotTable tabId="12" name="product"/>
    <pivotTable tabId="12" name="Sale person"/>
    <pivotTable tabId="12" name="PivotTable2"/>
  </pivotTables>
  <data>
    <tabular pivotCacheId="1799232576">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512F318-AD6B-48B6-AB05-13D93BD5764C}" sourceName="Order Date">
  <pivotTables>
    <pivotTable tabId="12" name="PivotTable1"/>
    <pivotTable tabId="12" name="Category"/>
    <pivotTable tabId="12" name="product"/>
    <pivotTable tabId="12" name="Region"/>
    <pivotTable tabId="12" name="Sale person"/>
    <pivotTable tabId="12" name="PivotTable2"/>
  </pivotTables>
  <data>
    <tabular pivotCacheId="179923257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E8E1E30-EE0F-4CB3-9E45-4A72C3851700}" cache="Slicer_Category" caption="Category" style="GREEN NEW" rowHeight="234950"/>
  <slicer name="Region" xr10:uid="{765BD3B2-2AD5-4BEC-BFDB-FF7B65636B52}" cache="Slicer_Region" caption="Region" style="GREEN NEW" rowHeight="234950"/>
  <slicer name="Order Date" xr10:uid="{DD197D30-F115-4940-9897-1BCA69DDA059}" cache="Slicer_Order_Date" caption="Order Date" style="GREEN NEW"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951315-047B-418B-8520-D7D7249B2A40}" name="SALE_TABLE_2" displayName="SALE_TABLE_2" ref="A1:L1050" tableType="queryTable" totalsRowShown="0">
  <autoFilter ref="A1:L1050" xr:uid="{B2951315-047B-418B-8520-D7D7249B2A40}"/>
  <tableColumns count="12">
    <tableColumn id="1" xr3:uid="{8AF781BD-5F8F-477F-B5B2-95FEB33A798B}" uniqueName="1" name="Order ID" queryTableFieldId="1" dataDxfId="17"/>
    <tableColumn id="2" xr3:uid="{FC85F457-92E0-4DD7-B650-048A77DAB631}" uniqueName="2" name="Order Date" queryTableFieldId="2" dataDxfId="16"/>
    <tableColumn id="3" xr3:uid="{974A5920-1478-457A-97AD-822124C76AEF}" uniqueName="3" name="Region" queryTableFieldId="3" dataDxfId="15"/>
    <tableColumn id="4" xr3:uid="{ABC79489-9526-450D-A6DE-6F1543E6A265}" uniqueName="4" name="Sales Person" queryTableFieldId="4" dataDxfId="14"/>
    <tableColumn id="5" xr3:uid="{613BA2FF-2F28-4DB7-9A6E-88DD393D2AE6}" uniqueName="5" name="Category" queryTableFieldId="5" dataDxfId="13"/>
    <tableColumn id="6" xr3:uid="{535DBB00-904D-4A5A-9F6E-E8B93A2699FC}" uniqueName="6" name="Product" queryTableFieldId="6" dataDxfId="12"/>
    <tableColumn id="7" xr3:uid="{378E217A-74C6-40AC-B278-43933B66F376}" uniqueName="7" name="Quantity" queryTableFieldId="7" dataDxfId="11"/>
    <tableColumn id="8" xr3:uid="{E2E25D5E-4E97-4603-BD78-76B7D181748A}" uniqueName="8" name="Cost Price" queryTableFieldId="8" dataDxfId="10"/>
    <tableColumn id="9" xr3:uid="{3D687D96-1B70-4037-889D-ECC4C87C1707}" uniqueName="9" name="Selling Price" queryTableFieldId="9" dataDxfId="9"/>
    <tableColumn id="10" xr3:uid="{9EE12C9B-CB4D-478C-9583-20D14B7C98EC}" uniqueName="10" name="Total Cost" queryTableFieldId="10" dataDxfId="8"/>
    <tableColumn id="11" xr3:uid="{8991BD2D-CC2D-4A3C-BE32-D2001111301B}" uniqueName="11" name="Total Sales" queryTableFieldId="11" dataDxfId="7"/>
    <tableColumn id="12" xr3:uid="{3220EBE7-B2E5-48D8-A16A-11B5260E92B4}" uniqueName="12" name="Profit" queryTableFieldId="12"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9C601-9E32-4730-BB3C-6B5CD83991CD}">
  <dimension ref="A1:P1050"/>
  <sheetViews>
    <sheetView topLeftCell="A11" workbookViewId="0">
      <selection activeCell="N23" sqref="N23"/>
    </sheetView>
  </sheetViews>
  <sheetFormatPr defaultRowHeight="14.4" x14ac:dyDescent="0.3"/>
  <cols>
    <col min="1" max="1" width="10.21875" bestFit="1" customWidth="1"/>
    <col min="2" max="2" width="15.44140625" bestFit="1" customWidth="1"/>
    <col min="3" max="3" width="9" bestFit="1" customWidth="1"/>
    <col min="4" max="4" width="13.6640625" bestFit="1" customWidth="1"/>
    <col min="5" max="5" width="10.77734375" bestFit="1" customWidth="1"/>
    <col min="6" max="6" width="11.109375" bestFit="1" customWidth="1"/>
    <col min="7" max="7" width="10.5546875" bestFit="1" customWidth="1"/>
    <col min="8" max="8" width="11.44140625" bestFit="1" customWidth="1"/>
    <col min="9" max="9" width="13.21875" bestFit="1" customWidth="1"/>
    <col min="10" max="10" width="11.5546875" bestFit="1" customWidth="1"/>
    <col min="11" max="11" width="12.109375" bestFit="1" customWidth="1"/>
    <col min="12" max="12" width="8.21875" bestFit="1" customWidth="1"/>
    <col min="14" max="14" width="17.109375" customWidth="1"/>
  </cols>
  <sheetData>
    <row r="1" spans="1:14" x14ac:dyDescent="0.3">
      <c r="A1" t="s">
        <v>0</v>
      </c>
      <c r="B1" t="s">
        <v>1</v>
      </c>
      <c r="C1" t="s">
        <v>2</v>
      </c>
      <c r="D1" t="s">
        <v>3</v>
      </c>
      <c r="E1" t="s">
        <v>4</v>
      </c>
      <c r="F1" t="s">
        <v>5</v>
      </c>
      <c r="G1" t="s">
        <v>6</v>
      </c>
      <c r="H1" t="s">
        <v>7</v>
      </c>
      <c r="I1" t="s">
        <v>8</v>
      </c>
      <c r="J1" t="s">
        <v>9</v>
      </c>
      <c r="K1" t="s">
        <v>10</v>
      </c>
      <c r="L1" t="s">
        <v>11</v>
      </c>
    </row>
    <row r="2" spans="1:14" x14ac:dyDescent="0.3">
      <c r="A2" s="8" t="s">
        <v>30</v>
      </c>
      <c r="B2" s="9">
        <v>44927</v>
      </c>
      <c r="C2" s="8" t="s">
        <v>26</v>
      </c>
      <c r="D2" s="8" t="s">
        <v>21</v>
      </c>
      <c r="E2" s="8" t="s">
        <v>18</v>
      </c>
      <c r="F2" s="8" t="s">
        <v>28</v>
      </c>
      <c r="G2" s="7">
        <v>4</v>
      </c>
      <c r="H2" s="7">
        <v>6904</v>
      </c>
      <c r="I2" s="7">
        <v>9856</v>
      </c>
      <c r="J2" s="7">
        <f>G2*H2</f>
        <v>27616</v>
      </c>
      <c r="K2" s="7">
        <f>G2*I2</f>
        <v>39424</v>
      </c>
      <c r="L2" s="8">
        <f>(I2-H2)*G2</f>
        <v>11808</v>
      </c>
      <c r="N2" s="4"/>
    </row>
    <row r="3" spans="1:14" x14ac:dyDescent="0.3">
      <c r="A3" s="8" t="s">
        <v>31</v>
      </c>
      <c r="B3" s="9">
        <v>44928</v>
      </c>
      <c r="C3" s="8" t="s">
        <v>12</v>
      </c>
      <c r="D3" s="8" t="s">
        <v>29</v>
      </c>
      <c r="E3" s="8" t="s">
        <v>18</v>
      </c>
      <c r="F3" s="8" t="s">
        <v>28</v>
      </c>
      <c r="G3" s="7">
        <v>6</v>
      </c>
      <c r="H3" s="7">
        <v>30008</v>
      </c>
      <c r="I3" s="7">
        <v>35165</v>
      </c>
      <c r="J3" s="7">
        <f t="shared" ref="J3:J66" si="0">G3*H3</f>
        <v>180048</v>
      </c>
      <c r="K3" s="7">
        <f t="shared" ref="K3:K66" si="1">G3*I3</f>
        <v>210990</v>
      </c>
      <c r="L3" s="8">
        <f t="shared" ref="L3:L66" si="2">(I3-H3)*G3</f>
        <v>30942</v>
      </c>
    </row>
    <row r="4" spans="1:14" x14ac:dyDescent="0.3">
      <c r="A4" s="8" t="s">
        <v>32</v>
      </c>
      <c r="B4" s="9">
        <v>44929</v>
      </c>
      <c r="C4" s="8" t="s">
        <v>12</v>
      </c>
      <c r="D4" s="8" t="s">
        <v>29</v>
      </c>
      <c r="E4" s="8" t="s">
        <v>14</v>
      </c>
      <c r="F4" s="8" t="s">
        <v>22</v>
      </c>
      <c r="G4" s="7">
        <v>1</v>
      </c>
      <c r="H4" s="7">
        <v>17893</v>
      </c>
      <c r="I4" s="7">
        <v>20233</v>
      </c>
      <c r="J4" s="7">
        <f t="shared" si="0"/>
        <v>17893</v>
      </c>
      <c r="K4" s="7">
        <f t="shared" si="1"/>
        <v>20233</v>
      </c>
      <c r="L4" s="8">
        <f t="shared" si="2"/>
        <v>2340</v>
      </c>
    </row>
    <row r="5" spans="1:14" x14ac:dyDescent="0.3">
      <c r="A5" s="8" t="s">
        <v>33</v>
      </c>
      <c r="B5" s="9">
        <v>44930</v>
      </c>
      <c r="C5" s="8" t="s">
        <v>26</v>
      </c>
      <c r="D5" s="8" t="s">
        <v>13</v>
      </c>
      <c r="E5" s="8" t="s">
        <v>14</v>
      </c>
      <c r="F5" s="8" t="s">
        <v>20</v>
      </c>
      <c r="G5" s="7">
        <v>1</v>
      </c>
      <c r="H5" s="7">
        <v>39831</v>
      </c>
      <c r="I5" s="7">
        <v>40281</v>
      </c>
      <c r="J5" s="7">
        <f t="shared" si="0"/>
        <v>39831</v>
      </c>
      <c r="K5" s="7">
        <f t="shared" si="1"/>
        <v>40281</v>
      </c>
      <c r="L5" s="8">
        <f t="shared" si="2"/>
        <v>450</v>
      </c>
    </row>
    <row r="6" spans="1:14" x14ac:dyDescent="0.3">
      <c r="A6" s="8" t="s">
        <v>34</v>
      </c>
      <c r="B6" s="9">
        <v>44931</v>
      </c>
      <c r="C6" s="8" t="s">
        <v>23</v>
      </c>
      <c r="D6" s="8" t="s">
        <v>21</v>
      </c>
      <c r="E6" s="8" t="s">
        <v>18</v>
      </c>
      <c r="F6" s="8" t="s">
        <v>19</v>
      </c>
      <c r="G6" s="7">
        <v>9</v>
      </c>
      <c r="H6" s="7">
        <v>12809</v>
      </c>
      <c r="I6" s="7">
        <v>14722</v>
      </c>
      <c r="J6" s="7">
        <f t="shared" si="0"/>
        <v>115281</v>
      </c>
      <c r="K6" s="7">
        <f t="shared" si="1"/>
        <v>132498</v>
      </c>
      <c r="L6" s="8">
        <f t="shared" si="2"/>
        <v>17217</v>
      </c>
    </row>
    <row r="7" spans="1:14" x14ac:dyDescent="0.3">
      <c r="A7" s="8" t="s">
        <v>35</v>
      </c>
      <c r="B7" s="9">
        <v>44932</v>
      </c>
      <c r="C7" s="8" t="s">
        <v>12</v>
      </c>
      <c r="D7" s="8" t="s">
        <v>21</v>
      </c>
      <c r="E7" s="8" t="s">
        <v>18</v>
      </c>
      <c r="F7" s="8" t="s">
        <v>25</v>
      </c>
      <c r="G7" s="7">
        <v>3</v>
      </c>
      <c r="H7" s="7">
        <v>27763</v>
      </c>
      <c r="I7" s="7">
        <v>31969</v>
      </c>
      <c r="J7" s="7">
        <f t="shared" si="0"/>
        <v>83289</v>
      </c>
      <c r="K7" s="7">
        <f t="shared" si="1"/>
        <v>95907</v>
      </c>
      <c r="L7" s="8">
        <f t="shared" si="2"/>
        <v>12618</v>
      </c>
    </row>
    <row r="8" spans="1:14" x14ac:dyDescent="0.3">
      <c r="A8" s="8" t="s">
        <v>36</v>
      </c>
      <c r="B8" s="9">
        <v>44933</v>
      </c>
      <c r="C8" s="8" t="s">
        <v>23</v>
      </c>
      <c r="D8" s="8" t="s">
        <v>27</v>
      </c>
      <c r="E8" s="8" t="s">
        <v>18</v>
      </c>
      <c r="F8" s="8" t="s">
        <v>28</v>
      </c>
      <c r="G8" s="7">
        <v>7</v>
      </c>
      <c r="H8" s="7">
        <v>28576</v>
      </c>
      <c r="I8" s="7">
        <v>33522</v>
      </c>
      <c r="J8" s="7">
        <f t="shared" si="0"/>
        <v>200032</v>
      </c>
      <c r="K8" s="7">
        <f t="shared" si="1"/>
        <v>234654</v>
      </c>
      <c r="L8" s="8">
        <f t="shared" si="2"/>
        <v>34622</v>
      </c>
    </row>
    <row r="9" spans="1:14" x14ac:dyDescent="0.3">
      <c r="A9" s="8" t="s">
        <v>37</v>
      </c>
      <c r="B9" s="9">
        <v>44934</v>
      </c>
      <c r="C9" s="8" t="s">
        <v>16</v>
      </c>
      <c r="D9" s="8" t="s">
        <v>29</v>
      </c>
      <c r="E9" s="8" t="s">
        <v>18</v>
      </c>
      <c r="F9" s="8" t="s">
        <v>25</v>
      </c>
      <c r="G9" s="7">
        <v>2</v>
      </c>
      <c r="H9" s="7">
        <v>1097</v>
      </c>
      <c r="I9" s="7">
        <v>1409</v>
      </c>
      <c r="J9" s="7">
        <f t="shared" si="0"/>
        <v>2194</v>
      </c>
      <c r="K9" s="7">
        <f t="shared" si="1"/>
        <v>2818</v>
      </c>
      <c r="L9" s="8">
        <f t="shared" si="2"/>
        <v>624</v>
      </c>
    </row>
    <row r="10" spans="1:14" x14ac:dyDescent="0.3">
      <c r="A10" s="8" t="s">
        <v>38</v>
      </c>
      <c r="B10" s="9">
        <v>44935</v>
      </c>
      <c r="C10" s="8" t="s">
        <v>26</v>
      </c>
      <c r="D10" s="8" t="s">
        <v>21</v>
      </c>
      <c r="E10" s="8" t="s">
        <v>18</v>
      </c>
      <c r="F10" s="8" t="s">
        <v>19</v>
      </c>
      <c r="G10" s="7">
        <v>2</v>
      </c>
      <c r="H10" s="7">
        <v>2084</v>
      </c>
      <c r="I10" s="7">
        <v>6054</v>
      </c>
      <c r="J10" s="7">
        <f t="shared" si="0"/>
        <v>4168</v>
      </c>
      <c r="K10" s="7">
        <f t="shared" si="1"/>
        <v>12108</v>
      </c>
      <c r="L10" s="8">
        <f t="shared" si="2"/>
        <v>7940</v>
      </c>
    </row>
    <row r="11" spans="1:14" x14ac:dyDescent="0.3">
      <c r="A11" s="8" t="s">
        <v>39</v>
      </c>
      <c r="B11" s="9">
        <v>44936</v>
      </c>
      <c r="C11" s="8" t="s">
        <v>16</v>
      </c>
      <c r="D11" s="8" t="s">
        <v>29</v>
      </c>
      <c r="E11" s="8" t="s">
        <v>14</v>
      </c>
      <c r="F11" s="8" t="s">
        <v>22</v>
      </c>
      <c r="G11" s="7">
        <v>7</v>
      </c>
      <c r="H11" s="7">
        <v>28168</v>
      </c>
      <c r="I11" s="7">
        <v>35566</v>
      </c>
      <c r="J11" s="7">
        <f t="shared" si="0"/>
        <v>197176</v>
      </c>
      <c r="K11" s="7">
        <f t="shared" si="1"/>
        <v>248962</v>
      </c>
      <c r="L11" s="8">
        <f t="shared" si="2"/>
        <v>51786</v>
      </c>
    </row>
    <row r="12" spans="1:14" x14ac:dyDescent="0.3">
      <c r="A12" s="8" t="s">
        <v>40</v>
      </c>
      <c r="B12" s="9">
        <v>44937</v>
      </c>
      <c r="C12" s="8" t="s">
        <v>26</v>
      </c>
      <c r="D12" s="8" t="s">
        <v>29</v>
      </c>
      <c r="E12" s="8" t="s">
        <v>18</v>
      </c>
      <c r="F12" s="8" t="s">
        <v>19</v>
      </c>
      <c r="G12" s="7">
        <v>6</v>
      </c>
      <c r="H12" s="7">
        <v>26880</v>
      </c>
      <c r="I12" s="7">
        <v>27786</v>
      </c>
      <c r="J12" s="7">
        <f t="shared" si="0"/>
        <v>161280</v>
      </c>
      <c r="K12" s="7">
        <f t="shared" si="1"/>
        <v>166716</v>
      </c>
      <c r="L12" s="8">
        <f t="shared" si="2"/>
        <v>5436</v>
      </c>
    </row>
    <row r="13" spans="1:14" x14ac:dyDescent="0.3">
      <c r="A13" s="8" t="s">
        <v>41</v>
      </c>
      <c r="B13" s="9">
        <v>44938</v>
      </c>
      <c r="C13" s="8" t="s">
        <v>16</v>
      </c>
      <c r="D13" s="8" t="s">
        <v>27</v>
      </c>
      <c r="E13" s="8" t="s">
        <v>14</v>
      </c>
      <c r="F13" s="8" t="s">
        <v>20</v>
      </c>
      <c r="G13" s="7">
        <v>6</v>
      </c>
      <c r="H13" s="7">
        <v>19539</v>
      </c>
      <c r="I13" s="7">
        <v>25185</v>
      </c>
      <c r="J13" s="7">
        <f t="shared" si="0"/>
        <v>117234</v>
      </c>
      <c r="K13" s="7">
        <f t="shared" si="1"/>
        <v>151110</v>
      </c>
      <c r="L13" s="8">
        <f t="shared" si="2"/>
        <v>33876</v>
      </c>
    </row>
    <row r="14" spans="1:14" x14ac:dyDescent="0.3">
      <c r="A14" s="8" t="s">
        <v>42</v>
      </c>
      <c r="B14" s="9">
        <v>44939</v>
      </c>
      <c r="C14" s="8" t="s">
        <v>12</v>
      </c>
      <c r="D14" s="8" t="s">
        <v>29</v>
      </c>
      <c r="E14" s="8" t="s">
        <v>14</v>
      </c>
      <c r="F14" s="8" t="s">
        <v>20</v>
      </c>
      <c r="G14" s="7">
        <v>7</v>
      </c>
      <c r="H14" s="7">
        <v>14245</v>
      </c>
      <c r="I14" s="7">
        <v>23063</v>
      </c>
      <c r="J14" s="7">
        <f t="shared" si="0"/>
        <v>99715</v>
      </c>
      <c r="K14" s="7">
        <f t="shared" si="1"/>
        <v>161441</v>
      </c>
      <c r="L14" s="8">
        <f t="shared" si="2"/>
        <v>61726</v>
      </c>
    </row>
    <row r="15" spans="1:14" x14ac:dyDescent="0.3">
      <c r="A15" s="8" t="s">
        <v>43</v>
      </c>
      <c r="B15" s="9">
        <v>44940</v>
      </c>
      <c r="C15" s="8" t="s">
        <v>26</v>
      </c>
      <c r="D15" s="8" t="s">
        <v>13</v>
      </c>
      <c r="E15" s="8" t="s">
        <v>18</v>
      </c>
      <c r="F15" s="8" t="s">
        <v>25</v>
      </c>
      <c r="G15" s="7">
        <v>8</v>
      </c>
      <c r="H15" s="7">
        <v>23772</v>
      </c>
      <c r="I15" s="7">
        <v>30025</v>
      </c>
      <c r="J15" s="7">
        <f t="shared" si="0"/>
        <v>190176</v>
      </c>
      <c r="K15" s="7">
        <f t="shared" si="1"/>
        <v>240200</v>
      </c>
      <c r="L15" s="8">
        <f t="shared" si="2"/>
        <v>50024</v>
      </c>
    </row>
    <row r="16" spans="1:14" x14ac:dyDescent="0.3">
      <c r="A16" s="8" t="s">
        <v>44</v>
      </c>
      <c r="B16" s="9">
        <v>44941</v>
      </c>
      <c r="C16" s="8" t="s">
        <v>26</v>
      </c>
      <c r="D16" s="8" t="s">
        <v>24</v>
      </c>
      <c r="E16" s="8" t="s">
        <v>18</v>
      </c>
      <c r="F16" s="8" t="s">
        <v>28</v>
      </c>
      <c r="G16" s="7">
        <v>8</v>
      </c>
      <c r="H16" s="7">
        <v>31735</v>
      </c>
      <c r="I16" s="7">
        <v>38965</v>
      </c>
      <c r="J16" s="7">
        <f t="shared" si="0"/>
        <v>253880</v>
      </c>
      <c r="K16" s="7">
        <f t="shared" si="1"/>
        <v>311720</v>
      </c>
      <c r="L16" s="8">
        <f t="shared" si="2"/>
        <v>57840</v>
      </c>
    </row>
    <row r="17" spans="1:16" x14ac:dyDescent="0.3">
      <c r="A17" s="8" t="s">
        <v>45</v>
      </c>
      <c r="B17" s="9">
        <v>44942</v>
      </c>
      <c r="C17" s="8" t="s">
        <v>26</v>
      </c>
      <c r="D17" s="8" t="s">
        <v>27</v>
      </c>
      <c r="E17" s="8" t="s">
        <v>14</v>
      </c>
      <c r="F17" s="8" t="s">
        <v>22</v>
      </c>
      <c r="G17" s="7">
        <v>8</v>
      </c>
      <c r="H17" s="7">
        <v>18190</v>
      </c>
      <c r="I17" s="7">
        <v>27524</v>
      </c>
      <c r="J17" s="7">
        <f t="shared" si="0"/>
        <v>145520</v>
      </c>
      <c r="K17" s="7">
        <f t="shared" si="1"/>
        <v>220192</v>
      </c>
      <c r="L17" s="8">
        <f t="shared" si="2"/>
        <v>74672</v>
      </c>
    </row>
    <row r="18" spans="1:16" x14ac:dyDescent="0.3">
      <c r="A18" s="8" t="s">
        <v>46</v>
      </c>
      <c r="B18" s="9">
        <v>44943</v>
      </c>
      <c r="C18" s="8" t="s">
        <v>23</v>
      </c>
      <c r="D18" s="8" t="s">
        <v>27</v>
      </c>
      <c r="E18" s="8" t="s">
        <v>14</v>
      </c>
      <c r="F18" s="8" t="s">
        <v>15</v>
      </c>
      <c r="G18" s="7">
        <v>8</v>
      </c>
      <c r="H18" s="7">
        <v>23890</v>
      </c>
      <c r="I18" s="7">
        <v>25127</v>
      </c>
      <c r="J18" s="7">
        <f t="shared" si="0"/>
        <v>191120</v>
      </c>
      <c r="K18" s="7">
        <f t="shared" si="1"/>
        <v>201016</v>
      </c>
      <c r="L18" s="8">
        <f t="shared" si="2"/>
        <v>9896</v>
      </c>
    </row>
    <row r="19" spans="1:16" x14ac:dyDescent="0.3">
      <c r="A19" s="8" t="s">
        <v>47</v>
      </c>
      <c r="B19" s="9">
        <v>44944</v>
      </c>
      <c r="C19" s="8" t="s">
        <v>12</v>
      </c>
      <c r="D19" s="8" t="s">
        <v>13</v>
      </c>
      <c r="E19" s="8" t="s">
        <v>18</v>
      </c>
      <c r="F19" s="8" t="s">
        <v>28</v>
      </c>
      <c r="G19" s="7">
        <v>2</v>
      </c>
      <c r="H19" s="7">
        <v>21937</v>
      </c>
      <c r="I19" s="7">
        <v>27167</v>
      </c>
      <c r="J19" s="7">
        <f t="shared" si="0"/>
        <v>43874</v>
      </c>
      <c r="K19" s="7">
        <f t="shared" si="1"/>
        <v>54334</v>
      </c>
      <c r="L19" s="8">
        <f t="shared" si="2"/>
        <v>10460</v>
      </c>
    </row>
    <row r="20" spans="1:16" x14ac:dyDescent="0.3">
      <c r="A20" s="8" t="s">
        <v>48</v>
      </c>
      <c r="B20" s="9">
        <v>44945</v>
      </c>
      <c r="C20" s="8" t="s">
        <v>23</v>
      </c>
      <c r="D20" s="8" t="s">
        <v>24</v>
      </c>
      <c r="E20" s="8" t="s">
        <v>14</v>
      </c>
      <c r="F20" s="8" t="s">
        <v>20</v>
      </c>
      <c r="G20" s="7">
        <v>6</v>
      </c>
      <c r="H20" s="7">
        <v>10480</v>
      </c>
      <c r="I20" s="7">
        <v>14377</v>
      </c>
      <c r="J20" s="7">
        <f t="shared" si="0"/>
        <v>62880</v>
      </c>
      <c r="K20" s="7">
        <f t="shared" si="1"/>
        <v>86262</v>
      </c>
      <c r="L20" s="8">
        <f t="shared" si="2"/>
        <v>23382</v>
      </c>
      <c r="P20">
        <v>0</v>
      </c>
    </row>
    <row r="21" spans="1:16" x14ac:dyDescent="0.3">
      <c r="A21" s="8" t="s">
        <v>49</v>
      </c>
      <c r="B21" s="9">
        <v>44946</v>
      </c>
      <c r="C21" s="8" t="s">
        <v>26</v>
      </c>
      <c r="D21" s="8" t="s">
        <v>21</v>
      </c>
      <c r="E21" s="8" t="s">
        <v>14</v>
      </c>
      <c r="F21" s="8" t="s">
        <v>15</v>
      </c>
      <c r="G21" s="7">
        <v>5</v>
      </c>
      <c r="H21" s="7">
        <v>33063</v>
      </c>
      <c r="I21" s="7">
        <v>34834</v>
      </c>
      <c r="J21" s="7">
        <f t="shared" si="0"/>
        <v>165315</v>
      </c>
      <c r="K21" s="7">
        <f t="shared" si="1"/>
        <v>174170</v>
      </c>
      <c r="L21" s="8">
        <f t="shared" si="2"/>
        <v>8855</v>
      </c>
    </row>
    <row r="22" spans="1:16" x14ac:dyDescent="0.3">
      <c r="A22" s="8" t="s">
        <v>50</v>
      </c>
      <c r="B22" s="9">
        <v>44947</v>
      </c>
      <c r="C22" s="8" t="s">
        <v>23</v>
      </c>
      <c r="D22" s="8" t="s">
        <v>17</v>
      </c>
      <c r="E22" s="8" t="s">
        <v>14</v>
      </c>
      <c r="F22" s="8" t="s">
        <v>20</v>
      </c>
      <c r="G22" s="7">
        <v>8</v>
      </c>
      <c r="H22" s="7">
        <v>24874</v>
      </c>
      <c r="I22" s="7">
        <v>34652</v>
      </c>
      <c r="J22" s="7">
        <f t="shared" si="0"/>
        <v>198992</v>
      </c>
      <c r="K22" s="7">
        <f t="shared" si="1"/>
        <v>277216</v>
      </c>
      <c r="L22" s="8">
        <f t="shared" si="2"/>
        <v>78224</v>
      </c>
    </row>
    <row r="23" spans="1:16" x14ac:dyDescent="0.3">
      <c r="A23" s="8" t="s">
        <v>51</v>
      </c>
      <c r="B23" s="9">
        <v>44948</v>
      </c>
      <c r="C23" s="8" t="s">
        <v>12</v>
      </c>
      <c r="D23" s="8" t="s">
        <v>24</v>
      </c>
      <c r="E23" s="8" t="s">
        <v>14</v>
      </c>
      <c r="F23" s="8" t="s">
        <v>22</v>
      </c>
      <c r="G23" s="7">
        <v>5</v>
      </c>
      <c r="H23" s="7">
        <v>38985</v>
      </c>
      <c r="I23" s="7">
        <v>46351</v>
      </c>
      <c r="J23" s="7">
        <f t="shared" si="0"/>
        <v>194925</v>
      </c>
      <c r="K23" s="7">
        <f t="shared" si="1"/>
        <v>231755</v>
      </c>
      <c r="L23" s="8">
        <f t="shared" si="2"/>
        <v>36830</v>
      </c>
    </row>
    <row r="24" spans="1:16" x14ac:dyDescent="0.3">
      <c r="A24" s="8" t="s">
        <v>52</v>
      </c>
      <c r="B24" s="9">
        <v>44949</v>
      </c>
      <c r="C24" s="8" t="s">
        <v>26</v>
      </c>
      <c r="D24" s="8" t="s">
        <v>13</v>
      </c>
      <c r="E24" s="8" t="s">
        <v>14</v>
      </c>
      <c r="F24" s="8" t="s">
        <v>22</v>
      </c>
      <c r="G24" s="7">
        <v>3</v>
      </c>
      <c r="H24" s="7">
        <v>11093</v>
      </c>
      <c r="I24" s="7">
        <v>19996</v>
      </c>
      <c r="J24" s="7">
        <f t="shared" si="0"/>
        <v>33279</v>
      </c>
      <c r="K24" s="7">
        <f t="shared" si="1"/>
        <v>59988</v>
      </c>
      <c r="L24" s="8">
        <f t="shared" si="2"/>
        <v>26709</v>
      </c>
    </row>
    <row r="25" spans="1:16" x14ac:dyDescent="0.3">
      <c r="A25" s="8" t="s">
        <v>53</v>
      </c>
      <c r="B25" s="9">
        <v>44950</v>
      </c>
      <c r="C25" s="8" t="s">
        <v>26</v>
      </c>
      <c r="D25" s="8" t="s">
        <v>13</v>
      </c>
      <c r="E25" s="8" t="s">
        <v>14</v>
      </c>
      <c r="F25" s="8" t="s">
        <v>22</v>
      </c>
      <c r="G25" s="7">
        <v>4</v>
      </c>
      <c r="H25" s="7">
        <v>10479</v>
      </c>
      <c r="I25" s="7">
        <v>14923</v>
      </c>
      <c r="J25" s="7">
        <f t="shared" si="0"/>
        <v>41916</v>
      </c>
      <c r="K25" s="7">
        <f t="shared" si="1"/>
        <v>59692</v>
      </c>
      <c r="L25" s="8">
        <f t="shared" si="2"/>
        <v>17776</v>
      </c>
    </row>
    <row r="26" spans="1:16" x14ac:dyDescent="0.3">
      <c r="A26" s="8" t="s">
        <v>54</v>
      </c>
      <c r="B26" s="9">
        <v>44951</v>
      </c>
      <c r="C26" s="8" t="s">
        <v>26</v>
      </c>
      <c r="D26" s="8" t="s">
        <v>17</v>
      </c>
      <c r="E26" s="8" t="s">
        <v>18</v>
      </c>
      <c r="F26" s="8" t="s">
        <v>25</v>
      </c>
      <c r="G26" s="7">
        <v>5</v>
      </c>
      <c r="H26" s="7">
        <v>28226</v>
      </c>
      <c r="I26" s="7">
        <v>32321</v>
      </c>
      <c r="J26" s="7">
        <f t="shared" si="0"/>
        <v>141130</v>
      </c>
      <c r="K26" s="7">
        <f t="shared" si="1"/>
        <v>161605</v>
      </c>
      <c r="L26" s="8">
        <f t="shared" si="2"/>
        <v>20475</v>
      </c>
    </row>
    <row r="27" spans="1:16" x14ac:dyDescent="0.3">
      <c r="A27" s="8" t="s">
        <v>55</v>
      </c>
      <c r="B27" s="9">
        <v>44952</v>
      </c>
      <c r="C27" s="8" t="s">
        <v>16</v>
      </c>
      <c r="D27" s="8" t="s">
        <v>21</v>
      </c>
      <c r="E27" s="8" t="s">
        <v>14</v>
      </c>
      <c r="F27" s="8" t="s">
        <v>20</v>
      </c>
      <c r="G27" s="7">
        <v>1</v>
      </c>
      <c r="H27" s="7">
        <v>24323</v>
      </c>
      <c r="I27" s="7">
        <v>25653</v>
      </c>
      <c r="J27" s="7">
        <f t="shared" si="0"/>
        <v>24323</v>
      </c>
      <c r="K27" s="7">
        <f t="shared" si="1"/>
        <v>25653</v>
      </c>
      <c r="L27" s="8">
        <f t="shared" si="2"/>
        <v>1330</v>
      </c>
    </row>
    <row r="28" spans="1:16" x14ac:dyDescent="0.3">
      <c r="A28" s="8" t="s">
        <v>56</v>
      </c>
      <c r="B28" s="9">
        <v>44953</v>
      </c>
      <c r="C28" s="8" t="s">
        <v>16</v>
      </c>
      <c r="D28" s="8" t="s">
        <v>21</v>
      </c>
      <c r="E28" s="8" t="s">
        <v>18</v>
      </c>
      <c r="F28" s="8" t="s">
        <v>19</v>
      </c>
      <c r="G28" s="7">
        <v>8</v>
      </c>
      <c r="H28" s="7">
        <v>21117</v>
      </c>
      <c r="I28" s="7">
        <v>23532</v>
      </c>
      <c r="J28" s="7">
        <f t="shared" si="0"/>
        <v>168936</v>
      </c>
      <c r="K28" s="7">
        <f t="shared" si="1"/>
        <v>188256</v>
      </c>
      <c r="L28" s="8">
        <f t="shared" si="2"/>
        <v>19320</v>
      </c>
    </row>
    <row r="29" spans="1:16" x14ac:dyDescent="0.3">
      <c r="A29" s="8" t="s">
        <v>57</v>
      </c>
      <c r="B29" s="9">
        <v>44954</v>
      </c>
      <c r="C29" s="8" t="s">
        <v>16</v>
      </c>
      <c r="D29" s="8" t="s">
        <v>13</v>
      </c>
      <c r="E29" s="8" t="s">
        <v>14</v>
      </c>
      <c r="F29" s="8" t="s">
        <v>22</v>
      </c>
      <c r="G29" s="7">
        <v>7</v>
      </c>
      <c r="H29" s="7">
        <v>30286</v>
      </c>
      <c r="I29" s="7">
        <v>39023</v>
      </c>
      <c r="J29" s="7">
        <f t="shared" si="0"/>
        <v>212002</v>
      </c>
      <c r="K29" s="7">
        <f t="shared" si="1"/>
        <v>273161</v>
      </c>
      <c r="L29" s="8">
        <f t="shared" si="2"/>
        <v>61159</v>
      </c>
    </row>
    <row r="30" spans="1:16" x14ac:dyDescent="0.3">
      <c r="A30" s="8" t="s">
        <v>58</v>
      </c>
      <c r="B30" s="9">
        <v>44955</v>
      </c>
      <c r="C30" s="8" t="s">
        <v>12</v>
      </c>
      <c r="D30" s="8" t="s">
        <v>24</v>
      </c>
      <c r="E30" s="8" t="s">
        <v>14</v>
      </c>
      <c r="F30" s="8" t="s">
        <v>22</v>
      </c>
      <c r="G30" s="7">
        <v>7</v>
      </c>
      <c r="H30" s="7">
        <v>4617</v>
      </c>
      <c r="I30" s="7">
        <v>5987</v>
      </c>
      <c r="J30" s="7">
        <f t="shared" si="0"/>
        <v>32319</v>
      </c>
      <c r="K30" s="7">
        <f t="shared" si="1"/>
        <v>41909</v>
      </c>
      <c r="L30" s="8">
        <f t="shared" si="2"/>
        <v>9590</v>
      </c>
    </row>
    <row r="31" spans="1:16" x14ac:dyDescent="0.3">
      <c r="A31" s="8" t="s">
        <v>59</v>
      </c>
      <c r="B31" s="9">
        <v>44956</v>
      </c>
      <c r="C31" s="8" t="s">
        <v>16</v>
      </c>
      <c r="D31" s="8" t="s">
        <v>27</v>
      </c>
      <c r="E31" s="8" t="s">
        <v>14</v>
      </c>
      <c r="F31" s="8" t="s">
        <v>20</v>
      </c>
      <c r="G31" s="7">
        <v>9</v>
      </c>
      <c r="H31" s="7">
        <v>35378</v>
      </c>
      <c r="I31" s="7">
        <v>44624</v>
      </c>
      <c r="J31" s="7">
        <f t="shared" si="0"/>
        <v>318402</v>
      </c>
      <c r="K31" s="7">
        <f t="shared" si="1"/>
        <v>401616</v>
      </c>
      <c r="L31" s="8">
        <f t="shared" si="2"/>
        <v>83214</v>
      </c>
    </row>
    <row r="32" spans="1:16" x14ac:dyDescent="0.3">
      <c r="A32" s="8" t="s">
        <v>60</v>
      </c>
      <c r="B32" s="9">
        <v>44957</v>
      </c>
      <c r="C32" s="8" t="s">
        <v>26</v>
      </c>
      <c r="D32" s="8" t="s">
        <v>29</v>
      </c>
      <c r="E32" s="8" t="s">
        <v>18</v>
      </c>
      <c r="F32" s="8" t="s">
        <v>19</v>
      </c>
      <c r="G32" s="7">
        <v>8</v>
      </c>
      <c r="H32" s="7">
        <v>15904</v>
      </c>
      <c r="I32" s="7">
        <v>23786</v>
      </c>
      <c r="J32" s="7">
        <f t="shared" si="0"/>
        <v>127232</v>
      </c>
      <c r="K32" s="7">
        <f t="shared" si="1"/>
        <v>190288</v>
      </c>
      <c r="L32" s="8">
        <f t="shared" si="2"/>
        <v>63056</v>
      </c>
    </row>
    <row r="33" spans="1:12" x14ac:dyDescent="0.3">
      <c r="A33" s="8" t="s">
        <v>61</v>
      </c>
      <c r="B33" s="9">
        <v>44958</v>
      </c>
      <c r="C33" s="8" t="s">
        <v>23</v>
      </c>
      <c r="D33" s="8" t="s">
        <v>17</v>
      </c>
      <c r="E33" s="8" t="s">
        <v>14</v>
      </c>
      <c r="F33" s="8" t="s">
        <v>22</v>
      </c>
      <c r="G33" s="7">
        <v>6</v>
      </c>
      <c r="H33" s="7">
        <v>36821</v>
      </c>
      <c r="I33" s="7">
        <v>39737</v>
      </c>
      <c r="J33" s="7">
        <f t="shared" si="0"/>
        <v>220926</v>
      </c>
      <c r="K33" s="7">
        <f t="shared" si="1"/>
        <v>238422</v>
      </c>
      <c r="L33" s="8">
        <f t="shared" si="2"/>
        <v>17496</v>
      </c>
    </row>
    <row r="34" spans="1:12" x14ac:dyDescent="0.3">
      <c r="A34" s="8" t="s">
        <v>62</v>
      </c>
      <c r="B34" s="9">
        <v>44959</v>
      </c>
      <c r="C34" s="8" t="s">
        <v>26</v>
      </c>
      <c r="D34" s="8" t="s">
        <v>24</v>
      </c>
      <c r="E34" s="8" t="s">
        <v>18</v>
      </c>
      <c r="F34" s="8" t="s">
        <v>28</v>
      </c>
      <c r="G34" s="7">
        <v>3</v>
      </c>
      <c r="H34" s="7">
        <v>15097</v>
      </c>
      <c r="I34" s="7">
        <v>20532</v>
      </c>
      <c r="J34" s="7">
        <f t="shared" si="0"/>
        <v>45291</v>
      </c>
      <c r="K34" s="7">
        <f t="shared" si="1"/>
        <v>61596</v>
      </c>
      <c r="L34" s="8">
        <f t="shared" si="2"/>
        <v>16305</v>
      </c>
    </row>
    <row r="35" spans="1:12" x14ac:dyDescent="0.3">
      <c r="A35" s="8" t="s">
        <v>63</v>
      </c>
      <c r="B35" s="9">
        <v>44960</v>
      </c>
      <c r="C35" s="8" t="s">
        <v>16</v>
      </c>
      <c r="D35" s="8" t="s">
        <v>13</v>
      </c>
      <c r="E35" s="8" t="s">
        <v>18</v>
      </c>
      <c r="F35" s="8" t="s">
        <v>28</v>
      </c>
      <c r="G35" s="7">
        <v>2</v>
      </c>
      <c r="H35" s="7">
        <v>28470</v>
      </c>
      <c r="I35" s="7">
        <v>37949</v>
      </c>
      <c r="J35" s="7">
        <f t="shared" si="0"/>
        <v>56940</v>
      </c>
      <c r="K35" s="7">
        <f t="shared" si="1"/>
        <v>75898</v>
      </c>
      <c r="L35" s="8">
        <f t="shared" si="2"/>
        <v>18958</v>
      </c>
    </row>
    <row r="36" spans="1:12" x14ac:dyDescent="0.3">
      <c r="A36" s="8" t="s">
        <v>64</v>
      </c>
      <c r="B36" s="9">
        <v>44961</v>
      </c>
      <c r="C36" s="8" t="s">
        <v>16</v>
      </c>
      <c r="D36" s="8" t="s">
        <v>17</v>
      </c>
      <c r="E36" s="8" t="s">
        <v>14</v>
      </c>
      <c r="F36" s="8" t="s">
        <v>15</v>
      </c>
      <c r="G36" s="7">
        <v>8</v>
      </c>
      <c r="H36" s="7">
        <v>21802</v>
      </c>
      <c r="I36" s="7">
        <v>30637</v>
      </c>
      <c r="J36" s="7">
        <f t="shared" si="0"/>
        <v>174416</v>
      </c>
      <c r="K36" s="7">
        <f t="shared" si="1"/>
        <v>245096</v>
      </c>
      <c r="L36" s="8">
        <f t="shared" si="2"/>
        <v>70680</v>
      </c>
    </row>
    <row r="37" spans="1:12" x14ac:dyDescent="0.3">
      <c r="A37" s="8" t="s">
        <v>65</v>
      </c>
      <c r="B37" s="9">
        <v>44962</v>
      </c>
      <c r="C37" s="8" t="s">
        <v>12</v>
      </c>
      <c r="D37" s="8" t="s">
        <v>21</v>
      </c>
      <c r="E37" s="8" t="s">
        <v>14</v>
      </c>
      <c r="F37" s="8" t="s">
        <v>15</v>
      </c>
      <c r="G37" s="7">
        <v>7</v>
      </c>
      <c r="H37" s="7">
        <v>35142</v>
      </c>
      <c r="I37" s="7">
        <v>36525</v>
      </c>
      <c r="J37" s="7">
        <f t="shared" si="0"/>
        <v>245994</v>
      </c>
      <c r="K37" s="7">
        <f t="shared" si="1"/>
        <v>255675</v>
      </c>
      <c r="L37" s="8">
        <f t="shared" si="2"/>
        <v>9681</v>
      </c>
    </row>
    <row r="38" spans="1:12" x14ac:dyDescent="0.3">
      <c r="A38" s="8" t="s">
        <v>66</v>
      </c>
      <c r="B38" s="9">
        <v>44963</v>
      </c>
      <c r="C38" s="8" t="s">
        <v>12</v>
      </c>
      <c r="D38" s="8" t="s">
        <v>21</v>
      </c>
      <c r="E38" s="8" t="s">
        <v>14</v>
      </c>
      <c r="F38" s="8" t="s">
        <v>22</v>
      </c>
      <c r="G38" s="7">
        <v>10</v>
      </c>
      <c r="H38" s="7">
        <v>25458</v>
      </c>
      <c r="I38" s="7">
        <v>26741</v>
      </c>
      <c r="J38" s="7">
        <f t="shared" si="0"/>
        <v>254580</v>
      </c>
      <c r="K38" s="7">
        <f t="shared" si="1"/>
        <v>267410</v>
      </c>
      <c r="L38" s="8">
        <f t="shared" si="2"/>
        <v>12830</v>
      </c>
    </row>
    <row r="39" spans="1:12" x14ac:dyDescent="0.3">
      <c r="A39" s="8" t="s">
        <v>67</v>
      </c>
      <c r="B39" s="9">
        <v>44964</v>
      </c>
      <c r="C39" s="8" t="s">
        <v>16</v>
      </c>
      <c r="D39" s="8" t="s">
        <v>24</v>
      </c>
      <c r="E39" s="8" t="s">
        <v>18</v>
      </c>
      <c r="F39" s="8" t="s">
        <v>28</v>
      </c>
      <c r="G39" s="7">
        <v>1</v>
      </c>
      <c r="H39" s="7">
        <v>34051</v>
      </c>
      <c r="I39" s="7">
        <v>34743</v>
      </c>
      <c r="J39" s="7">
        <f t="shared" si="0"/>
        <v>34051</v>
      </c>
      <c r="K39" s="7">
        <f t="shared" si="1"/>
        <v>34743</v>
      </c>
      <c r="L39" s="8">
        <f t="shared" si="2"/>
        <v>692</v>
      </c>
    </row>
    <row r="40" spans="1:12" x14ac:dyDescent="0.3">
      <c r="A40" s="8" t="s">
        <v>68</v>
      </c>
      <c r="B40" s="9">
        <v>44965</v>
      </c>
      <c r="C40" s="8" t="s">
        <v>16</v>
      </c>
      <c r="D40" s="8" t="s">
        <v>13</v>
      </c>
      <c r="E40" s="8" t="s">
        <v>18</v>
      </c>
      <c r="F40" s="8" t="s">
        <v>28</v>
      </c>
      <c r="G40" s="7">
        <v>1</v>
      </c>
      <c r="H40" s="7">
        <v>11366</v>
      </c>
      <c r="I40" s="7">
        <v>13407</v>
      </c>
      <c r="J40" s="7">
        <f t="shared" si="0"/>
        <v>11366</v>
      </c>
      <c r="K40" s="7">
        <f t="shared" si="1"/>
        <v>13407</v>
      </c>
      <c r="L40" s="8">
        <f t="shared" si="2"/>
        <v>2041</v>
      </c>
    </row>
    <row r="41" spans="1:12" x14ac:dyDescent="0.3">
      <c r="A41" s="8" t="s">
        <v>69</v>
      </c>
      <c r="B41" s="9">
        <v>44966</v>
      </c>
      <c r="C41" s="8" t="s">
        <v>12</v>
      </c>
      <c r="D41" s="8" t="s">
        <v>21</v>
      </c>
      <c r="E41" s="8" t="s">
        <v>14</v>
      </c>
      <c r="F41" s="8" t="s">
        <v>20</v>
      </c>
      <c r="G41" s="7">
        <v>7</v>
      </c>
      <c r="H41" s="7">
        <v>13921</v>
      </c>
      <c r="I41" s="7">
        <v>14739</v>
      </c>
      <c r="J41" s="7">
        <f t="shared" si="0"/>
        <v>97447</v>
      </c>
      <c r="K41" s="7">
        <f t="shared" si="1"/>
        <v>103173</v>
      </c>
      <c r="L41" s="8">
        <f t="shared" si="2"/>
        <v>5726</v>
      </c>
    </row>
    <row r="42" spans="1:12" x14ac:dyDescent="0.3">
      <c r="A42" s="8" t="s">
        <v>70</v>
      </c>
      <c r="B42" s="9">
        <v>44967</v>
      </c>
      <c r="C42" s="8" t="s">
        <v>16</v>
      </c>
      <c r="D42" s="8" t="s">
        <v>27</v>
      </c>
      <c r="E42" s="8" t="s">
        <v>18</v>
      </c>
      <c r="F42" s="8" t="s">
        <v>25</v>
      </c>
      <c r="G42" s="7">
        <v>10</v>
      </c>
      <c r="H42" s="7">
        <v>9265</v>
      </c>
      <c r="I42" s="7">
        <v>16340</v>
      </c>
      <c r="J42" s="7">
        <f t="shared" si="0"/>
        <v>92650</v>
      </c>
      <c r="K42" s="7">
        <f t="shared" si="1"/>
        <v>163400</v>
      </c>
      <c r="L42" s="8">
        <f t="shared" si="2"/>
        <v>70750</v>
      </c>
    </row>
    <row r="43" spans="1:12" x14ac:dyDescent="0.3">
      <c r="A43" s="8" t="s">
        <v>71</v>
      </c>
      <c r="B43" s="9">
        <v>44968</v>
      </c>
      <c r="C43" s="8" t="s">
        <v>12</v>
      </c>
      <c r="D43" s="8" t="s">
        <v>21</v>
      </c>
      <c r="E43" s="8" t="s">
        <v>14</v>
      </c>
      <c r="F43" s="8" t="s">
        <v>15</v>
      </c>
      <c r="G43" s="7">
        <v>2</v>
      </c>
      <c r="H43" s="7">
        <v>26990</v>
      </c>
      <c r="I43" s="7">
        <v>33262</v>
      </c>
      <c r="J43" s="7">
        <f t="shared" si="0"/>
        <v>53980</v>
      </c>
      <c r="K43" s="7">
        <f t="shared" si="1"/>
        <v>66524</v>
      </c>
      <c r="L43" s="8">
        <f t="shared" si="2"/>
        <v>12544</v>
      </c>
    </row>
    <row r="44" spans="1:12" x14ac:dyDescent="0.3">
      <c r="A44" s="8" t="s">
        <v>72</v>
      </c>
      <c r="B44" s="9">
        <v>44969</v>
      </c>
      <c r="C44" s="8" t="s">
        <v>16</v>
      </c>
      <c r="D44" s="8" t="s">
        <v>29</v>
      </c>
      <c r="E44" s="8" t="s">
        <v>18</v>
      </c>
      <c r="F44" s="8" t="s">
        <v>19</v>
      </c>
      <c r="G44" s="7">
        <v>2</v>
      </c>
      <c r="H44" s="7">
        <v>22904</v>
      </c>
      <c r="I44" s="7">
        <v>31832</v>
      </c>
      <c r="J44" s="7">
        <f t="shared" si="0"/>
        <v>45808</v>
      </c>
      <c r="K44" s="7">
        <f t="shared" si="1"/>
        <v>63664</v>
      </c>
      <c r="L44" s="8">
        <f t="shared" si="2"/>
        <v>17856</v>
      </c>
    </row>
    <row r="45" spans="1:12" x14ac:dyDescent="0.3">
      <c r="A45" s="8" t="s">
        <v>73</v>
      </c>
      <c r="B45" s="9">
        <v>44970</v>
      </c>
      <c r="C45" s="8" t="s">
        <v>23</v>
      </c>
      <c r="D45" s="8" t="s">
        <v>27</v>
      </c>
      <c r="E45" s="8" t="s">
        <v>18</v>
      </c>
      <c r="F45" s="8" t="s">
        <v>28</v>
      </c>
      <c r="G45" s="7">
        <v>2</v>
      </c>
      <c r="H45" s="7">
        <v>10200</v>
      </c>
      <c r="I45" s="7">
        <v>19241</v>
      </c>
      <c r="J45" s="7">
        <f t="shared" si="0"/>
        <v>20400</v>
      </c>
      <c r="K45" s="7">
        <f t="shared" si="1"/>
        <v>38482</v>
      </c>
      <c r="L45" s="8">
        <f t="shared" si="2"/>
        <v>18082</v>
      </c>
    </row>
    <row r="46" spans="1:12" x14ac:dyDescent="0.3">
      <c r="A46" s="8" t="s">
        <v>74</v>
      </c>
      <c r="B46" s="9">
        <v>44971</v>
      </c>
      <c r="C46" s="8" t="s">
        <v>23</v>
      </c>
      <c r="D46" s="8" t="s">
        <v>17</v>
      </c>
      <c r="E46" s="8" t="s">
        <v>18</v>
      </c>
      <c r="F46" s="8" t="s">
        <v>19</v>
      </c>
      <c r="G46" s="7">
        <v>3</v>
      </c>
      <c r="H46" s="7">
        <v>18600</v>
      </c>
      <c r="I46" s="7">
        <v>24967</v>
      </c>
      <c r="J46" s="7">
        <f t="shared" si="0"/>
        <v>55800</v>
      </c>
      <c r="K46" s="7">
        <f t="shared" si="1"/>
        <v>74901</v>
      </c>
      <c r="L46" s="8">
        <f t="shared" si="2"/>
        <v>19101</v>
      </c>
    </row>
    <row r="47" spans="1:12" x14ac:dyDescent="0.3">
      <c r="A47" s="8" t="s">
        <v>75</v>
      </c>
      <c r="B47" s="9">
        <v>44972</v>
      </c>
      <c r="C47" s="8" t="s">
        <v>23</v>
      </c>
      <c r="D47" s="8" t="s">
        <v>29</v>
      </c>
      <c r="E47" s="8" t="s">
        <v>14</v>
      </c>
      <c r="F47" s="8" t="s">
        <v>15</v>
      </c>
      <c r="G47" s="7">
        <v>4</v>
      </c>
      <c r="H47" s="7">
        <v>39975</v>
      </c>
      <c r="I47" s="7">
        <v>43568</v>
      </c>
      <c r="J47" s="7">
        <f t="shared" si="0"/>
        <v>159900</v>
      </c>
      <c r="K47" s="7">
        <f t="shared" si="1"/>
        <v>174272</v>
      </c>
      <c r="L47" s="8">
        <f t="shared" si="2"/>
        <v>14372</v>
      </c>
    </row>
    <row r="48" spans="1:12" x14ac:dyDescent="0.3">
      <c r="A48" s="8" t="s">
        <v>76</v>
      </c>
      <c r="B48" s="9">
        <v>44973</v>
      </c>
      <c r="C48" s="8" t="s">
        <v>12</v>
      </c>
      <c r="D48" s="8" t="s">
        <v>17</v>
      </c>
      <c r="E48" s="8" t="s">
        <v>14</v>
      </c>
      <c r="F48" s="8" t="s">
        <v>22</v>
      </c>
      <c r="G48" s="7">
        <v>3</v>
      </c>
      <c r="H48" s="7">
        <v>17392</v>
      </c>
      <c r="I48" s="7">
        <v>22142</v>
      </c>
      <c r="J48" s="7">
        <f t="shared" si="0"/>
        <v>52176</v>
      </c>
      <c r="K48" s="7">
        <f t="shared" si="1"/>
        <v>66426</v>
      </c>
      <c r="L48" s="8">
        <f t="shared" si="2"/>
        <v>14250</v>
      </c>
    </row>
    <row r="49" spans="1:12" x14ac:dyDescent="0.3">
      <c r="A49" s="8" t="s">
        <v>77</v>
      </c>
      <c r="B49" s="9">
        <v>44974</v>
      </c>
      <c r="C49" s="8" t="s">
        <v>26</v>
      </c>
      <c r="D49" s="8" t="s">
        <v>21</v>
      </c>
      <c r="E49" s="8" t="s">
        <v>14</v>
      </c>
      <c r="F49" s="8" t="s">
        <v>15</v>
      </c>
      <c r="G49" s="7">
        <v>6</v>
      </c>
      <c r="H49" s="7">
        <v>14288</v>
      </c>
      <c r="I49" s="7">
        <v>23843</v>
      </c>
      <c r="J49" s="7">
        <f t="shared" si="0"/>
        <v>85728</v>
      </c>
      <c r="K49" s="7">
        <f t="shared" si="1"/>
        <v>143058</v>
      </c>
      <c r="L49" s="8">
        <f t="shared" si="2"/>
        <v>57330</v>
      </c>
    </row>
    <row r="50" spans="1:12" x14ac:dyDescent="0.3">
      <c r="A50" s="8" t="s">
        <v>78</v>
      </c>
      <c r="B50" s="9">
        <v>44975</v>
      </c>
      <c r="C50" s="8" t="s">
        <v>26</v>
      </c>
      <c r="D50" s="8" t="s">
        <v>24</v>
      </c>
      <c r="E50" s="8" t="s">
        <v>18</v>
      </c>
      <c r="F50" s="8" t="s">
        <v>28</v>
      </c>
      <c r="G50" s="7">
        <v>3</v>
      </c>
      <c r="H50" s="7">
        <v>35038</v>
      </c>
      <c r="I50" s="7">
        <v>35770</v>
      </c>
      <c r="J50" s="7">
        <f t="shared" si="0"/>
        <v>105114</v>
      </c>
      <c r="K50" s="7">
        <f t="shared" si="1"/>
        <v>107310</v>
      </c>
      <c r="L50" s="8">
        <f t="shared" si="2"/>
        <v>2196</v>
      </c>
    </row>
    <row r="51" spans="1:12" x14ac:dyDescent="0.3">
      <c r="A51" s="8" t="s">
        <v>79</v>
      </c>
      <c r="B51" s="9">
        <v>44976</v>
      </c>
      <c r="C51" s="8" t="s">
        <v>23</v>
      </c>
      <c r="D51" s="8" t="s">
        <v>27</v>
      </c>
      <c r="E51" s="8" t="s">
        <v>18</v>
      </c>
      <c r="F51" s="8" t="s">
        <v>28</v>
      </c>
      <c r="G51" s="7">
        <v>3</v>
      </c>
      <c r="H51" s="7">
        <v>24443</v>
      </c>
      <c r="I51" s="7">
        <v>29661</v>
      </c>
      <c r="J51" s="7">
        <f t="shared" si="0"/>
        <v>73329</v>
      </c>
      <c r="K51" s="7">
        <f t="shared" si="1"/>
        <v>88983</v>
      </c>
      <c r="L51" s="8">
        <f t="shared" si="2"/>
        <v>15654</v>
      </c>
    </row>
    <row r="52" spans="1:12" x14ac:dyDescent="0.3">
      <c r="A52" s="8" t="s">
        <v>80</v>
      </c>
      <c r="B52" s="9">
        <v>44977</v>
      </c>
      <c r="C52" s="8" t="s">
        <v>23</v>
      </c>
      <c r="D52" s="8" t="s">
        <v>13</v>
      </c>
      <c r="E52" s="8" t="s">
        <v>18</v>
      </c>
      <c r="F52" s="8" t="s">
        <v>19</v>
      </c>
      <c r="G52" s="7">
        <v>6</v>
      </c>
      <c r="H52" s="7">
        <v>12654</v>
      </c>
      <c r="I52" s="7">
        <v>17365</v>
      </c>
      <c r="J52" s="7">
        <f t="shared" si="0"/>
        <v>75924</v>
      </c>
      <c r="K52" s="7">
        <f t="shared" si="1"/>
        <v>104190</v>
      </c>
      <c r="L52" s="8">
        <f t="shared" si="2"/>
        <v>28266</v>
      </c>
    </row>
    <row r="53" spans="1:12" x14ac:dyDescent="0.3">
      <c r="A53" s="8" t="s">
        <v>81</v>
      </c>
      <c r="B53" s="9">
        <v>44978</v>
      </c>
      <c r="C53" s="8" t="s">
        <v>12</v>
      </c>
      <c r="D53" s="8" t="s">
        <v>27</v>
      </c>
      <c r="E53" s="8" t="s">
        <v>14</v>
      </c>
      <c r="F53" s="8" t="s">
        <v>15</v>
      </c>
      <c r="G53" s="7">
        <v>7</v>
      </c>
      <c r="H53" s="7">
        <v>30937</v>
      </c>
      <c r="I53" s="7">
        <v>36858</v>
      </c>
      <c r="J53" s="7">
        <f t="shared" si="0"/>
        <v>216559</v>
      </c>
      <c r="K53" s="7">
        <f t="shared" si="1"/>
        <v>258006</v>
      </c>
      <c r="L53" s="8">
        <f t="shared" si="2"/>
        <v>41447</v>
      </c>
    </row>
    <row r="54" spans="1:12" x14ac:dyDescent="0.3">
      <c r="A54" s="8" t="s">
        <v>82</v>
      </c>
      <c r="B54" s="9">
        <v>44979</v>
      </c>
      <c r="C54" s="8" t="s">
        <v>16</v>
      </c>
      <c r="D54" s="8" t="s">
        <v>29</v>
      </c>
      <c r="E54" s="8" t="s">
        <v>14</v>
      </c>
      <c r="F54" s="8" t="s">
        <v>22</v>
      </c>
      <c r="G54" s="7">
        <v>6</v>
      </c>
      <c r="H54" s="7">
        <v>39139</v>
      </c>
      <c r="I54" s="7">
        <v>43375</v>
      </c>
      <c r="J54" s="7">
        <f t="shared" si="0"/>
        <v>234834</v>
      </c>
      <c r="K54" s="7">
        <f t="shared" si="1"/>
        <v>260250</v>
      </c>
      <c r="L54" s="8">
        <f t="shared" si="2"/>
        <v>25416</v>
      </c>
    </row>
    <row r="55" spans="1:12" x14ac:dyDescent="0.3">
      <c r="A55" s="8" t="s">
        <v>83</v>
      </c>
      <c r="B55" s="9">
        <v>44980</v>
      </c>
      <c r="C55" s="8" t="s">
        <v>12</v>
      </c>
      <c r="D55" s="8" t="s">
        <v>13</v>
      </c>
      <c r="E55" s="8" t="s">
        <v>18</v>
      </c>
      <c r="F55" s="8" t="s">
        <v>25</v>
      </c>
      <c r="G55" s="7">
        <v>6</v>
      </c>
      <c r="H55" s="7">
        <v>29642</v>
      </c>
      <c r="I55" s="7">
        <v>33246</v>
      </c>
      <c r="J55" s="7">
        <f t="shared" si="0"/>
        <v>177852</v>
      </c>
      <c r="K55" s="7">
        <f t="shared" si="1"/>
        <v>199476</v>
      </c>
      <c r="L55" s="8">
        <f t="shared" si="2"/>
        <v>21624</v>
      </c>
    </row>
    <row r="56" spans="1:12" x14ac:dyDescent="0.3">
      <c r="A56" s="8" t="s">
        <v>84</v>
      </c>
      <c r="B56" s="9">
        <v>44981</v>
      </c>
      <c r="C56" s="8" t="s">
        <v>16</v>
      </c>
      <c r="D56" s="8" t="s">
        <v>27</v>
      </c>
      <c r="E56" s="8" t="s">
        <v>18</v>
      </c>
      <c r="F56" s="8" t="s">
        <v>28</v>
      </c>
      <c r="G56" s="7">
        <v>6</v>
      </c>
      <c r="H56" s="7">
        <v>20154</v>
      </c>
      <c r="I56" s="7">
        <v>25640</v>
      </c>
      <c r="J56" s="7">
        <f t="shared" si="0"/>
        <v>120924</v>
      </c>
      <c r="K56" s="7">
        <f t="shared" si="1"/>
        <v>153840</v>
      </c>
      <c r="L56" s="8">
        <f t="shared" si="2"/>
        <v>32916</v>
      </c>
    </row>
    <row r="57" spans="1:12" x14ac:dyDescent="0.3">
      <c r="A57" s="8" t="s">
        <v>85</v>
      </c>
      <c r="B57" s="9">
        <v>44982</v>
      </c>
      <c r="C57" s="8" t="s">
        <v>16</v>
      </c>
      <c r="D57" s="8" t="s">
        <v>29</v>
      </c>
      <c r="E57" s="8" t="s">
        <v>18</v>
      </c>
      <c r="F57" s="8" t="s">
        <v>28</v>
      </c>
      <c r="G57" s="7">
        <v>3</v>
      </c>
      <c r="H57" s="7">
        <v>18997</v>
      </c>
      <c r="I57" s="7">
        <v>25919</v>
      </c>
      <c r="J57" s="7">
        <f t="shared" si="0"/>
        <v>56991</v>
      </c>
      <c r="K57" s="7">
        <f t="shared" si="1"/>
        <v>77757</v>
      </c>
      <c r="L57" s="8">
        <f t="shared" si="2"/>
        <v>20766</v>
      </c>
    </row>
    <row r="58" spans="1:12" x14ac:dyDescent="0.3">
      <c r="A58" s="8" t="s">
        <v>86</v>
      </c>
      <c r="B58" s="9">
        <v>44983</v>
      </c>
      <c r="C58" s="8" t="s">
        <v>12</v>
      </c>
      <c r="D58" s="8" t="s">
        <v>13</v>
      </c>
      <c r="E58" s="8" t="s">
        <v>18</v>
      </c>
      <c r="F58" s="8" t="s">
        <v>25</v>
      </c>
      <c r="G58" s="7">
        <v>5</v>
      </c>
      <c r="H58" s="7">
        <v>4736</v>
      </c>
      <c r="I58" s="7">
        <v>5968</v>
      </c>
      <c r="J58" s="7">
        <f t="shared" si="0"/>
        <v>23680</v>
      </c>
      <c r="K58" s="7">
        <f t="shared" si="1"/>
        <v>29840</v>
      </c>
      <c r="L58" s="8">
        <f t="shared" si="2"/>
        <v>6160</v>
      </c>
    </row>
    <row r="59" spans="1:12" x14ac:dyDescent="0.3">
      <c r="A59" s="8" t="s">
        <v>87</v>
      </c>
      <c r="B59" s="9">
        <v>44984</v>
      </c>
      <c r="C59" s="8" t="s">
        <v>23</v>
      </c>
      <c r="D59" s="8" t="s">
        <v>17</v>
      </c>
      <c r="E59" s="8" t="s">
        <v>14</v>
      </c>
      <c r="F59" s="8" t="s">
        <v>20</v>
      </c>
      <c r="G59" s="7">
        <v>7</v>
      </c>
      <c r="H59" s="7">
        <v>4073</v>
      </c>
      <c r="I59" s="7">
        <v>10914</v>
      </c>
      <c r="J59" s="7">
        <f t="shared" si="0"/>
        <v>28511</v>
      </c>
      <c r="K59" s="7">
        <f t="shared" si="1"/>
        <v>76398</v>
      </c>
      <c r="L59" s="8">
        <f t="shared" si="2"/>
        <v>47887</v>
      </c>
    </row>
    <row r="60" spans="1:12" x14ac:dyDescent="0.3">
      <c r="A60" s="8" t="s">
        <v>88</v>
      </c>
      <c r="B60" s="9">
        <v>44985</v>
      </c>
      <c r="C60" s="8" t="s">
        <v>12</v>
      </c>
      <c r="D60" s="8" t="s">
        <v>21</v>
      </c>
      <c r="E60" s="8" t="s">
        <v>18</v>
      </c>
      <c r="F60" s="8" t="s">
        <v>25</v>
      </c>
      <c r="G60" s="7">
        <v>9</v>
      </c>
      <c r="H60" s="7">
        <v>33144</v>
      </c>
      <c r="I60" s="7">
        <v>37652</v>
      </c>
      <c r="J60" s="7">
        <f t="shared" si="0"/>
        <v>298296</v>
      </c>
      <c r="K60" s="7">
        <f t="shared" si="1"/>
        <v>338868</v>
      </c>
      <c r="L60" s="8">
        <f t="shared" si="2"/>
        <v>40572</v>
      </c>
    </row>
    <row r="61" spans="1:12" x14ac:dyDescent="0.3">
      <c r="A61" s="8" t="s">
        <v>89</v>
      </c>
      <c r="B61" s="9">
        <v>44986</v>
      </c>
      <c r="C61" s="8" t="s">
        <v>16</v>
      </c>
      <c r="D61" s="8" t="s">
        <v>17</v>
      </c>
      <c r="E61" s="8" t="s">
        <v>18</v>
      </c>
      <c r="F61" s="8" t="s">
        <v>28</v>
      </c>
      <c r="G61" s="7">
        <v>9</v>
      </c>
      <c r="H61" s="7">
        <v>36576</v>
      </c>
      <c r="I61" s="7">
        <v>44663</v>
      </c>
      <c r="J61" s="7">
        <f t="shared" si="0"/>
        <v>329184</v>
      </c>
      <c r="K61" s="7">
        <f t="shared" si="1"/>
        <v>401967</v>
      </c>
      <c r="L61" s="8">
        <f t="shared" si="2"/>
        <v>72783</v>
      </c>
    </row>
    <row r="62" spans="1:12" x14ac:dyDescent="0.3">
      <c r="A62" s="8" t="s">
        <v>90</v>
      </c>
      <c r="B62" s="9">
        <v>44987</v>
      </c>
      <c r="C62" s="8" t="s">
        <v>26</v>
      </c>
      <c r="D62" s="8" t="s">
        <v>13</v>
      </c>
      <c r="E62" s="8" t="s">
        <v>14</v>
      </c>
      <c r="F62" s="8" t="s">
        <v>22</v>
      </c>
      <c r="G62" s="7">
        <v>6</v>
      </c>
      <c r="H62" s="7">
        <v>19606</v>
      </c>
      <c r="I62" s="7">
        <v>23656</v>
      </c>
      <c r="J62" s="7">
        <f t="shared" si="0"/>
        <v>117636</v>
      </c>
      <c r="K62" s="7">
        <f t="shared" si="1"/>
        <v>141936</v>
      </c>
      <c r="L62" s="8">
        <f t="shared" si="2"/>
        <v>24300</v>
      </c>
    </row>
    <row r="63" spans="1:12" x14ac:dyDescent="0.3">
      <c r="A63" s="8" t="s">
        <v>91</v>
      </c>
      <c r="B63" s="9">
        <v>44988</v>
      </c>
      <c r="C63" s="8" t="s">
        <v>12</v>
      </c>
      <c r="D63" s="8" t="s">
        <v>29</v>
      </c>
      <c r="E63" s="8" t="s">
        <v>18</v>
      </c>
      <c r="F63" s="8" t="s">
        <v>25</v>
      </c>
      <c r="G63" s="7">
        <v>7</v>
      </c>
      <c r="H63" s="7">
        <v>17351</v>
      </c>
      <c r="I63" s="7">
        <v>17789</v>
      </c>
      <c r="J63" s="7">
        <f t="shared" si="0"/>
        <v>121457</v>
      </c>
      <c r="K63" s="7">
        <f t="shared" si="1"/>
        <v>124523</v>
      </c>
      <c r="L63" s="8">
        <f t="shared" si="2"/>
        <v>3066</v>
      </c>
    </row>
    <row r="64" spans="1:12" x14ac:dyDescent="0.3">
      <c r="A64" s="8" t="s">
        <v>92</v>
      </c>
      <c r="B64" s="9">
        <v>44989</v>
      </c>
      <c r="C64" s="8" t="s">
        <v>23</v>
      </c>
      <c r="D64" s="8" t="s">
        <v>17</v>
      </c>
      <c r="E64" s="8" t="s">
        <v>14</v>
      </c>
      <c r="F64" s="8" t="s">
        <v>22</v>
      </c>
      <c r="G64" s="7">
        <v>8</v>
      </c>
      <c r="H64" s="7">
        <v>28386</v>
      </c>
      <c r="I64" s="7">
        <v>36029</v>
      </c>
      <c r="J64" s="7">
        <f t="shared" si="0"/>
        <v>227088</v>
      </c>
      <c r="K64" s="7">
        <f t="shared" si="1"/>
        <v>288232</v>
      </c>
      <c r="L64" s="8">
        <f t="shared" si="2"/>
        <v>61144</v>
      </c>
    </row>
    <row r="65" spans="1:12" x14ac:dyDescent="0.3">
      <c r="A65" s="8" t="s">
        <v>93</v>
      </c>
      <c r="B65" s="9">
        <v>44990</v>
      </c>
      <c r="C65" s="8" t="s">
        <v>26</v>
      </c>
      <c r="D65" s="8" t="s">
        <v>24</v>
      </c>
      <c r="E65" s="8" t="s">
        <v>14</v>
      </c>
      <c r="F65" s="8" t="s">
        <v>22</v>
      </c>
      <c r="G65" s="7">
        <v>5</v>
      </c>
      <c r="H65" s="7">
        <v>30737</v>
      </c>
      <c r="I65" s="7">
        <v>39639</v>
      </c>
      <c r="J65" s="7">
        <f t="shared" si="0"/>
        <v>153685</v>
      </c>
      <c r="K65" s="7">
        <f t="shared" si="1"/>
        <v>198195</v>
      </c>
      <c r="L65" s="8">
        <f t="shared" si="2"/>
        <v>44510</v>
      </c>
    </row>
    <row r="66" spans="1:12" x14ac:dyDescent="0.3">
      <c r="A66" s="8" t="s">
        <v>94</v>
      </c>
      <c r="B66" s="9">
        <v>44991</v>
      </c>
      <c r="C66" s="8" t="s">
        <v>16</v>
      </c>
      <c r="D66" s="8" t="s">
        <v>21</v>
      </c>
      <c r="E66" s="8" t="s">
        <v>18</v>
      </c>
      <c r="F66" s="8" t="s">
        <v>25</v>
      </c>
      <c r="G66" s="7">
        <v>9</v>
      </c>
      <c r="H66" s="7">
        <v>23908</v>
      </c>
      <c r="I66" s="7">
        <v>25435</v>
      </c>
      <c r="J66" s="7">
        <f t="shared" si="0"/>
        <v>215172</v>
      </c>
      <c r="K66" s="7">
        <f t="shared" si="1"/>
        <v>228915</v>
      </c>
      <c r="L66" s="8">
        <f t="shared" si="2"/>
        <v>13743</v>
      </c>
    </row>
    <row r="67" spans="1:12" x14ac:dyDescent="0.3">
      <c r="A67" s="8" t="s">
        <v>95</v>
      </c>
      <c r="B67" s="9">
        <v>44992</v>
      </c>
      <c r="C67" s="8" t="s">
        <v>12</v>
      </c>
      <c r="D67" s="8" t="s">
        <v>29</v>
      </c>
      <c r="E67" s="8" t="s">
        <v>14</v>
      </c>
      <c r="F67" s="8" t="s">
        <v>15</v>
      </c>
      <c r="G67" s="7">
        <v>6</v>
      </c>
      <c r="H67" s="7">
        <v>32460</v>
      </c>
      <c r="I67" s="7">
        <v>42231</v>
      </c>
      <c r="J67" s="7">
        <f t="shared" ref="J67:J130" si="3">G67*H67</f>
        <v>194760</v>
      </c>
      <c r="K67" s="7">
        <f t="shared" ref="K67:K130" si="4">G67*I67</f>
        <v>253386</v>
      </c>
      <c r="L67" s="8">
        <f t="shared" ref="L67:L130" si="5">(I67-H67)*G67</f>
        <v>58626</v>
      </c>
    </row>
    <row r="68" spans="1:12" x14ac:dyDescent="0.3">
      <c r="A68" s="8" t="s">
        <v>96</v>
      </c>
      <c r="B68" s="9">
        <v>44993</v>
      </c>
      <c r="C68" s="8" t="s">
        <v>23</v>
      </c>
      <c r="D68" s="8" t="s">
        <v>27</v>
      </c>
      <c r="E68" s="8" t="s">
        <v>18</v>
      </c>
      <c r="F68" s="8" t="s">
        <v>25</v>
      </c>
      <c r="G68" s="7">
        <v>7</v>
      </c>
      <c r="H68" s="7">
        <v>22994</v>
      </c>
      <c r="I68" s="7">
        <v>29977</v>
      </c>
      <c r="J68" s="7">
        <f t="shared" si="3"/>
        <v>160958</v>
      </c>
      <c r="K68" s="7">
        <f t="shared" si="4"/>
        <v>209839</v>
      </c>
      <c r="L68" s="8">
        <f t="shared" si="5"/>
        <v>48881</v>
      </c>
    </row>
    <row r="69" spans="1:12" x14ac:dyDescent="0.3">
      <c r="A69" s="8" t="s">
        <v>97</v>
      </c>
      <c r="B69" s="9">
        <v>44994</v>
      </c>
      <c r="C69" s="8" t="s">
        <v>12</v>
      </c>
      <c r="D69" s="8" t="s">
        <v>17</v>
      </c>
      <c r="E69" s="8" t="s">
        <v>18</v>
      </c>
      <c r="F69" s="8" t="s">
        <v>19</v>
      </c>
      <c r="G69" s="7">
        <v>1</v>
      </c>
      <c r="H69" s="7">
        <v>30549</v>
      </c>
      <c r="I69" s="7">
        <v>38349</v>
      </c>
      <c r="J69" s="7">
        <f t="shared" si="3"/>
        <v>30549</v>
      </c>
      <c r="K69" s="7">
        <f t="shared" si="4"/>
        <v>38349</v>
      </c>
      <c r="L69" s="8">
        <f t="shared" si="5"/>
        <v>7800</v>
      </c>
    </row>
    <row r="70" spans="1:12" x14ac:dyDescent="0.3">
      <c r="A70" s="8" t="s">
        <v>98</v>
      </c>
      <c r="B70" s="9">
        <v>44995</v>
      </c>
      <c r="C70" s="8" t="s">
        <v>23</v>
      </c>
      <c r="D70" s="8" t="s">
        <v>21</v>
      </c>
      <c r="E70" s="8" t="s">
        <v>18</v>
      </c>
      <c r="F70" s="8" t="s">
        <v>19</v>
      </c>
      <c r="G70" s="7">
        <v>6</v>
      </c>
      <c r="H70" s="7">
        <v>33430</v>
      </c>
      <c r="I70" s="7">
        <v>37893</v>
      </c>
      <c r="J70" s="7">
        <f t="shared" si="3"/>
        <v>200580</v>
      </c>
      <c r="K70" s="7">
        <f t="shared" si="4"/>
        <v>227358</v>
      </c>
      <c r="L70" s="8">
        <f t="shared" si="5"/>
        <v>26778</v>
      </c>
    </row>
    <row r="71" spans="1:12" x14ac:dyDescent="0.3">
      <c r="A71" s="8" t="s">
        <v>99</v>
      </c>
      <c r="B71" s="9">
        <v>44996</v>
      </c>
      <c r="C71" s="8" t="s">
        <v>26</v>
      </c>
      <c r="D71" s="8" t="s">
        <v>17</v>
      </c>
      <c r="E71" s="8" t="s">
        <v>14</v>
      </c>
      <c r="F71" s="8" t="s">
        <v>22</v>
      </c>
      <c r="G71" s="7">
        <v>5</v>
      </c>
      <c r="H71" s="7">
        <v>35197</v>
      </c>
      <c r="I71" s="7">
        <v>37896</v>
      </c>
      <c r="J71" s="7">
        <f t="shared" si="3"/>
        <v>175985</v>
      </c>
      <c r="K71" s="7">
        <f t="shared" si="4"/>
        <v>189480</v>
      </c>
      <c r="L71" s="8">
        <f t="shared" si="5"/>
        <v>13495</v>
      </c>
    </row>
    <row r="72" spans="1:12" x14ac:dyDescent="0.3">
      <c r="A72" s="8" t="s">
        <v>100</v>
      </c>
      <c r="B72" s="9">
        <v>44997</v>
      </c>
      <c r="C72" s="8" t="s">
        <v>16</v>
      </c>
      <c r="D72" s="8" t="s">
        <v>24</v>
      </c>
      <c r="E72" s="8" t="s">
        <v>14</v>
      </c>
      <c r="F72" s="8" t="s">
        <v>22</v>
      </c>
      <c r="G72" s="7">
        <v>1</v>
      </c>
      <c r="H72" s="7">
        <v>27078</v>
      </c>
      <c r="I72" s="7">
        <v>31452</v>
      </c>
      <c r="J72" s="7">
        <f t="shared" si="3"/>
        <v>27078</v>
      </c>
      <c r="K72" s="7">
        <f t="shared" si="4"/>
        <v>31452</v>
      </c>
      <c r="L72" s="8">
        <f t="shared" si="5"/>
        <v>4374</v>
      </c>
    </row>
    <row r="73" spans="1:12" x14ac:dyDescent="0.3">
      <c r="A73" s="8" t="s">
        <v>101</v>
      </c>
      <c r="B73" s="9">
        <v>44998</v>
      </c>
      <c r="C73" s="8" t="s">
        <v>12</v>
      </c>
      <c r="D73" s="8" t="s">
        <v>29</v>
      </c>
      <c r="E73" s="8" t="s">
        <v>18</v>
      </c>
      <c r="F73" s="8" t="s">
        <v>19</v>
      </c>
      <c r="G73" s="7">
        <v>5</v>
      </c>
      <c r="H73" s="7">
        <v>12205</v>
      </c>
      <c r="I73" s="7">
        <v>17630</v>
      </c>
      <c r="J73" s="7">
        <f t="shared" si="3"/>
        <v>61025</v>
      </c>
      <c r="K73" s="7">
        <f t="shared" si="4"/>
        <v>88150</v>
      </c>
      <c r="L73" s="8">
        <f t="shared" si="5"/>
        <v>27125</v>
      </c>
    </row>
    <row r="74" spans="1:12" x14ac:dyDescent="0.3">
      <c r="A74" s="8" t="s">
        <v>102</v>
      </c>
      <c r="B74" s="9">
        <v>44999</v>
      </c>
      <c r="C74" s="8" t="s">
        <v>26</v>
      </c>
      <c r="D74" s="8" t="s">
        <v>27</v>
      </c>
      <c r="E74" s="8" t="s">
        <v>14</v>
      </c>
      <c r="F74" s="8" t="s">
        <v>20</v>
      </c>
      <c r="G74" s="7">
        <v>4</v>
      </c>
      <c r="H74" s="7">
        <v>3369</v>
      </c>
      <c r="I74" s="7">
        <v>6143</v>
      </c>
      <c r="J74" s="7">
        <f t="shared" si="3"/>
        <v>13476</v>
      </c>
      <c r="K74" s="7">
        <f t="shared" si="4"/>
        <v>24572</v>
      </c>
      <c r="L74" s="8">
        <f t="shared" si="5"/>
        <v>11096</v>
      </c>
    </row>
    <row r="75" spans="1:12" x14ac:dyDescent="0.3">
      <c r="A75" s="8" t="s">
        <v>103</v>
      </c>
      <c r="B75" s="9">
        <v>45000</v>
      </c>
      <c r="C75" s="8" t="s">
        <v>12</v>
      </c>
      <c r="D75" s="8" t="s">
        <v>27</v>
      </c>
      <c r="E75" s="8" t="s">
        <v>14</v>
      </c>
      <c r="F75" s="8" t="s">
        <v>15</v>
      </c>
      <c r="G75" s="7">
        <v>1</v>
      </c>
      <c r="H75" s="7">
        <v>36937</v>
      </c>
      <c r="I75" s="7">
        <v>39506</v>
      </c>
      <c r="J75" s="7">
        <f t="shared" si="3"/>
        <v>36937</v>
      </c>
      <c r="K75" s="7">
        <f t="shared" si="4"/>
        <v>39506</v>
      </c>
      <c r="L75" s="8">
        <f t="shared" si="5"/>
        <v>2569</v>
      </c>
    </row>
    <row r="76" spans="1:12" x14ac:dyDescent="0.3">
      <c r="A76" s="8" t="s">
        <v>104</v>
      </c>
      <c r="B76" s="9">
        <v>45001</v>
      </c>
      <c r="C76" s="8" t="s">
        <v>23</v>
      </c>
      <c r="D76" s="8" t="s">
        <v>29</v>
      </c>
      <c r="E76" s="8" t="s">
        <v>14</v>
      </c>
      <c r="F76" s="8" t="s">
        <v>22</v>
      </c>
      <c r="G76" s="7">
        <v>8</v>
      </c>
      <c r="H76" s="7">
        <v>34805</v>
      </c>
      <c r="I76" s="7">
        <v>41124</v>
      </c>
      <c r="J76" s="7">
        <f t="shared" si="3"/>
        <v>278440</v>
      </c>
      <c r="K76" s="7">
        <f t="shared" si="4"/>
        <v>328992</v>
      </c>
      <c r="L76" s="8">
        <f t="shared" si="5"/>
        <v>50552</v>
      </c>
    </row>
    <row r="77" spans="1:12" x14ac:dyDescent="0.3">
      <c r="A77" s="8" t="s">
        <v>105</v>
      </c>
      <c r="B77" s="9">
        <v>45002</v>
      </c>
      <c r="C77" s="8" t="s">
        <v>16</v>
      </c>
      <c r="D77" s="8" t="s">
        <v>17</v>
      </c>
      <c r="E77" s="8" t="s">
        <v>18</v>
      </c>
      <c r="F77" s="8" t="s">
        <v>19</v>
      </c>
      <c r="G77" s="7">
        <v>1</v>
      </c>
      <c r="H77" s="7">
        <v>30007</v>
      </c>
      <c r="I77" s="7">
        <v>32685</v>
      </c>
      <c r="J77" s="7">
        <f t="shared" si="3"/>
        <v>30007</v>
      </c>
      <c r="K77" s="7">
        <f t="shared" si="4"/>
        <v>32685</v>
      </c>
      <c r="L77" s="8">
        <f t="shared" si="5"/>
        <v>2678</v>
      </c>
    </row>
    <row r="78" spans="1:12" x14ac:dyDescent="0.3">
      <c r="A78" s="8" t="s">
        <v>106</v>
      </c>
      <c r="B78" s="9">
        <v>45003</v>
      </c>
      <c r="C78" s="8" t="s">
        <v>12</v>
      </c>
      <c r="D78" s="8" t="s">
        <v>24</v>
      </c>
      <c r="E78" s="8" t="s">
        <v>14</v>
      </c>
      <c r="F78" s="8" t="s">
        <v>15</v>
      </c>
      <c r="G78" s="7">
        <v>4</v>
      </c>
      <c r="H78" s="7">
        <v>7074</v>
      </c>
      <c r="I78" s="7">
        <v>11049</v>
      </c>
      <c r="J78" s="7">
        <f t="shared" si="3"/>
        <v>28296</v>
      </c>
      <c r="K78" s="7">
        <f t="shared" si="4"/>
        <v>44196</v>
      </c>
      <c r="L78" s="8">
        <f t="shared" si="5"/>
        <v>15900</v>
      </c>
    </row>
    <row r="79" spans="1:12" x14ac:dyDescent="0.3">
      <c r="A79" s="8" t="s">
        <v>107</v>
      </c>
      <c r="B79" s="9">
        <v>45004</v>
      </c>
      <c r="C79" s="8" t="s">
        <v>12</v>
      </c>
      <c r="D79" s="8" t="s">
        <v>21</v>
      </c>
      <c r="E79" s="8" t="s">
        <v>18</v>
      </c>
      <c r="F79" s="8" t="s">
        <v>28</v>
      </c>
      <c r="G79" s="7">
        <v>8</v>
      </c>
      <c r="H79" s="7">
        <v>7081</v>
      </c>
      <c r="I79" s="7">
        <v>12601</v>
      </c>
      <c r="J79" s="7">
        <f t="shared" si="3"/>
        <v>56648</v>
      </c>
      <c r="K79" s="7">
        <f t="shared" si="4"/>
        <v>100808</v>
      </c>
      <c r="L79" s="8">
        <f t="shared" si="5"/>
        <v>44160</v>
      </c>
    </row>
    <row r="80" spans="1:12" x14ac:dyDescent="0.3">
      <c r="A80" s="8" t="s">
        <v>108</v>
      </c>
      <c r="B80" s="9">
        <v>45005</v>
      </c>
      <c r="C80" s="8" t="s">
        <v>26</v>
      </c>
      <c r="D80" s="8" t="s">
        <v>13</v>
      </c>
      <c r="E80" s="8" t="s">
        <v>14</v>
      </c>
      <c r="F80" s="8" t="s">
        <v>22</v>
      </c>
      <c r="G80" s="7">
        <v>2</v>
      </c>
      <c r="H80" s="7">
        <v>11952</v>
      </c>
      <c r="I80" s="7">
        <v>20595</v>
      </c>
      <c r="J80" s="7">
        <f t="shared" si="3"/>
        <v>23904</v>
      </c>
      <c r="K80" s="7">
        <f t="shared" si="4"/>
        <v>41190</v>
      </c>
      <c r="L80" s="8">
        <f t="shared" si="5"/>
        <v>17286</v>
      </c>
    </row>
    <row r="81" spans="1:12" x14ac:dyDescent="0.3">
      <c r="A81" s="8" t="s">
        <v>109</v>
      </c>
      <c r="B81" s="9">
        <v>45006</v>
      </c>
      <c r="C81" s="8" t="s">
        <v>12</v>
      </c>
      <c r="D81" s="8" t="s">
        <v>24</v>
      </c>
      <c r="E81" s="8" t="s">
        <v>14</v>
      </c>
      <c r="F81" s="8" t="s">
        <v>15</v>
      </c>
      <c r="G81" s="7">
        <v>4</v>
      </c>
      <c r="H81" s="7">
        <v>19410</v>
      </c>
      <c r="I81" s="7">
        <v>20626</v>
      </c>
      <c r="J81" s="7">
        <f t="shared" si="3"/>
        <v>77640</v>
      </c>
      <c r="K81" s="7">
        <f t="shared" si="4"/>
        <v>82504</v>
      </c>
      <c r="L81" s="8">
        <f t="shared" si="5"/>
        <v>4864</v>
      </c>
    </row>
    <row r="82" spans="1:12" x14ac:dyDescent="0.3">
      <c r="A82" s="8" t="s">
        <v>110</v>
      </c>
      <c r="B82" s="9">
        <v>45007</v>
      </c>
      <c r="C82" s="8" t="s">
        <v>26</v>
      </c>
      <c r="D82" s="8" t="s">
        <v>27</v>
      </c>
      <c r="E82" s="8" t="s">
        <v>18</v>
      </c>
      <c r="F82" s="8" t="s">
        <v>19</v>
      </c>
      <c r="G82" s="7">
        <v>3</v>
      </c>
      <c r="H82" s="7">
        <v>29187</v>
      </c>
      <c r="I82" s="7">
        <v>32082</v>
      </c>
      <c r="J82" s="7">
        <f t="shared" si="3"/>
        <v>87561</v>
      </c>
      <c r="K82" s="7">
        <f t="shared" si="4"/>
        <v>96246</v>
      </c>
      <c r="L82" s="8">
        <f t="shared" si="5"/>
        <v>8685</v>
      </c>
    </row>
    <row r="83" spans="1:12" x14ac:dyDescent="0.3">
      <c r="A83" s="8" t="s">
        <v>111</v>
      </c>
      <c r="B83" s="9">
        <v>45008</v>
      </c>
      <c r="C83" s="8" t="s">
        <v>12</v>
      </c>
      <c r="D83" s="8" t="s">
        <v>21</v>
      </c>
      <c r="E83" s="8" t="s">
        <v>18</v>
      </c>
      <c r="F83" s="8" t="s">
        <v>19</v>
      </c>
      <c r="G83" s="7">
        <v>10</v>
      </c>
      <c r="H83" s="7">
        <v>19042</v>
      </c>
      <c r="I83" s="7">
        <v>21257</v>
      </c>
      <c r="J83" s="7">
        <f t="shared" si="3"/>
        <v>190420</v>
      </c>
      <c r="K83" s="7">
        <f t="shared" si="4"/>
        <v>212570</v>
      </c>
      <c r="L83" s="8">
        <f t="shared" si="5"/>
        <v>22150</v>
      </c>
    </row>
    <row r="84" spans="1:12" x14ac:dyDescent="0.3">
      <c r="A84" s="8" t="s">
        <v>112</v>
      </c>
      <c r="B84" s="9">
        <v>45009</v>
      </c>
      <c r="C84" s="8" t="s">
        <v>16</v>
      </c>
      <c r="D84" s="8" t="s">
        <v>17</v>
      </c>
      <c r="E84" s="8" t="s">
        <v>14</v>
      </c>
      <c r="F84" s="8" t="s">
        <v>22</v>
      </c>
      <c r="G84" s="7">
        <v>7</v>
      </c>
      <c r="H84" s="7">
        <v>16048</v>
      </c>
      <c r="I84" s="7">
        <v>16326</v>
      </c>
      <c r="J84" s="7">
        <f t="shared" si="3"/>
        <v>112336</v>
      </c>
      <c r="K84" s="7">
        <f t="shared" si="4"/>
        <v>114282</v>
      </c>
      <c r="L84" s="8">
        <f t="shared" si="5"/>
        <v>1946</v>
      </c>
    </row>
    <row r="85" spans="1:12" x14ac:dyDescent="0.3">
      <c r="A85" s="8" t="s">
        <v>113</v>
      </c>
      <c r="B85" s="9">
        <v>45010</v>
      </c>
      <c r="C85" s="8" t="s">
        <v>26</v>
      </c>
      <c r="D85" s="8" t="s">
        <v>13</v>
      </c>
      <c r="E85" s="8" t="s">
        <v>14</v>
      </c>
      <c r="F85" s="8" t="s">
        <v>20</v>
      </c>
      <c r="G85" s="7">
        <v>6</v>
      </c>
      <c r="H85" s="7">
        <v>33812</v>
      </c>
      <c r="I85" s="7">
        <v>43263</v>
      </c>
      <c r="J85" s="7">
        <f t="shared" si="3"/>
        <v>202872</v>
      </c>
      <c r="K85" s="7">
        <f t="shared" si="4"/>
        <v>259578</v>
      </c>
      <c r="L85" s="8">
        <f t="shared" si="5"/>
        <v>56706</v>
      </c>
    </row>
    <row r="86" spans="1:12" x14ac:dyDescent="0.3">
      <c r="A86" s="8" t="s">
        <v>114</v>
      </c>
      <c r="B86" s="9">
        <v>45011</v>
      </c>
      <c r="C86" s="8" t="s">
        <v>23</v>
      </c>
      <c r="D86" s="8" t="s">
        <v>27</v>
      </c>
      <c r="E86" s="8" t="s">
        <v>18</v>
      </c>
      <c r="F86" s="8" t="s">
        <v>25</v>
      </c>
      <c r="G86" s="7">
        <v>10</v>
      </c>
      <c r="H86" s="7">
        <v>11329</v>
      </c>
      <c r="I86" s="7">
        <v>11827</v>
      </c>
      <c r="J86" s="7">
        <f t="shared" si="3"/>
        <v>113290</v>
      </c>
      <c r="K86" s="7">
        <f t="shared" si="4"/>
        <v>118270</v>
      </c>
      <c r="L86" s="8">
        <f t="shared" si="5"/>
        <v>4980</v>
      </c>
    </row>
    <row r="87" spans="1:12" x14ac:dyDescent="0.3">
      <c r="A87" s="8" t="s">
        <v>115</v>
      </c>
      <c r="B87" s="9">
        <v>45012</v>
      </c>
      <c r="C87" s="8" t="s">
        <v>12</v>
      </c>
      <c r="D87" s="8" t="s">
        <v>27</v>
      </c>
      <c r="E87" s="8" t="s">
        <v>14</v>
      </c>
      <c r="F87" s="8" t="s">
        <v>15</v>
      </c>
      <c r="G87" s="7">
        <v>9</v>
      </c>
      <c r="H87" s="7">
        <v>14704</v>
      </c>
      <c r="I87" s="7">
        <v>21844</v>
      </c>
      <c r="J87" s="7">
        <f t="shared" si="3"/>
        <v>132336</v>
      </c>
      <c r="K87" s="7">
        <f t="shared" si="4"/>
        <v>196596</v>
      </c>
      <c r="L87" s="8">
        <f t="shared" si="5"/>
        <v>64260</v>
      </c>
    </row>
    <row r="88" spans="1:12" x14ac:dyDescent="0.3">
      <c r="A88" s="8" t="s">
        <v>116</v>
      </c>
      <c r="B88" s="9">
        <v>45013</v>
      </c>
      <c r="C88" s="8" t="s">
        <v>12</v>
      </c>
      <c r="D88" s="8" t="s">
        <v>13</v>
      </c>
      <c r="E88" s="8" t="s">
        <v>18</v>
      </c>
      <c r="F88" s="8" t="s">
        <v>28</v>
      </c>
      <c r="G88" s="7">
        <v>3</v>
      </c>
      <c r="H88" s="7">
        <v>18202</v>
      </c>
      <c r="I88" s="7">
        <v>22196</v>
      </c>
      <c r="J88" s="7">
        <f t="shared" si="3"/>
        <v>54606</v>
      </c>
      <c r="K88" s="7">
        <f t="shared" si="4"/>
        <v>66588</v>
      </c>
      <c r="L88" s="8">
        <f t="shared" si="5"/>
        <v>11982</v>
      </c>
    </row>
    <row r="89" spans="1:12" x14ac:dyDescent="0.3">
      <c r="A89" s="8" t="s">
        <v>117</v>
      </c>
      <c r="B89" s="9">
        <v>45014</v>
      </c>
      <c r="C89" s="8" t="s">
        <v>26</v>
      </c>
      <c r="D89" s="8" t="s">
        <v>17</v>
      </c>
      <c r="E89" s="8" t="s">
        <v>14</v>
      </c>
      <c r="F89" s="8" t="s">
        <v>20</v>
      </c>
      <c r="G89" s="7">
        <v>10</v>
      </c>
      <c r="H89" s="7">
        <v>7238</v>
      </c>
      <c r="I89" s="7">
        <v>9876</v>
      </c>
      <c r="J89" s="7">
        <f t="shared" si="3"/>
        <v>72380</v>
      </c>
      <c r="K89" s="7">
        <f t="shared" si="4"/>
        <v>98760</v>
      </c>
      <c r="L89" s="8">
        <f t="shared" si="5"/>
        <v>26380</v>
      </c>
    </row>
    <row r="90" spans="1:12" x14ac:dyDescent="0.3">
      <c r="A90" s="8" t="s">
        <v>118</v>
      </c>
      <c r="B90" s="9">
        <v>45015</v>
      </c>
      <c r="C90" s="8" t="s">
        <v>12</v>
      </c>
      <c r="D90" s="8" t="s">
        <v>29</v>
      </c>
      <c r="E90" s="8" t="s">
        <v>18</v>
      </c>
      <c r="F90" s="8" t="s">
        <v>25</v>
      </c>
      <c r="G90" s="7">
        <v>4</v>
      </c>
      <c r="H90" s="7">
        <v>27876</v>
      </c>
      <c r="I90" s="7">
        <v>34141</v>
      </c>
      <c r="J90" s="7">
        <f t="shared" si="3"/>
        <v>111504</v>
      </c>
      <c r="K90" s="7">
        <f t="shared" si="4"/>
        <v>136564</v>
      </c>
      <c r="L90" s="8">
        <f t="shared" si="5"/>
        <v>25060</v>
      </c>
    </row>
    <row r="91" spans="1:12" x14ac:dyDescent="0.3">
      <c r="A91" s="8" t="s">
        <v>119</v>
      </c>
      <c r="B91" s="9">
        <v>45016</v>
      </c>
      <c r="C91" s="8" t="s">
        <v>16</v>
      </c>
      <c r="D91" s="8" t="s">
        <v>27</v>
      </c>
      <c r="E91" s="8" t="s">
        <v>18</v>
      </c>
      <c r="F91" s="8" t="s">
        <v>28</v>
      </c>
      <c r="G91" s="7">
        <v>3</v>
      </c>
      <c r="H91" s="7">
        <v>36655</v>
      </c>
      <c r="I91" s="7">
        <v>37015</v>
      </c>
      <c r="J91" s="7">
        <f t="shared" si="3"/>
        <v>109965</v>
      </c>
      <c r="K91" s="7">
        <f t="shared" si="4"/>
        <v>111045</v>
      </c>
      <c r="L91" s="8">
        <f t="shared" si="5"/>
        <v>1080</v>
      </c>
    </row>
    <row r="92" spans="1:12" x14ac:dyDescent="0.3">
      <c r="A92" s="8" t="s">
        <v>120</v>
      </c>
      <c r="B92" s="9">
        <v>45017</v>
      </c>
      <c r="C92" s="8" t="s">
        <v>12</v>
      </c>
      <c r="D92" s="8" t="s">
        <v>24</v>
      </c>
      <c r="E92" s="8" t="s">
        <v>18</v>
      </c>
      <c r="F92" s="8" t="s">
        <v>25</v>
      </c>
      <c r="G92" s="7">
        <v>5</v>
      </c>
      <c r="H92" s="7">
        <v>21165</v>
      </c>
      <c r="I92" s="7">
        <v>22995</v>
      </c>
      <c r="J92" s="7">
        <f t="shared" si="3"/>
        <v>105825</v>
      </c>
      <c r="K92" s="7">
        <f t="shared" si="4"/>
        <v>114975</v>
      </c>
      <c r="L92" s="8">
        <f t="shared" si="5"/>
        <v>9150</v>
      </c>
    </row>
    <row r="93" spans="1:12" x14ac:dyDescent="0.3">
      <c r="A93" s="8" t="s">
        <v>121</v>
      </c>
      <c r="B93" s="9">
        <v>45018</v>
      </c>
      <c r="C93" s="8" t="s">
        <v>16</v>
      </c>
      <c r="D93" s="8" t="s">
        <v>27</v>
      </c>
      <c r="E93" s="8" t="s">
        <v>18</v>
      </c>
      <c r="F93" s="8" t="s">
        <v>19</v>
      </c>
      <c r="G93" s="7">
        <v>7</v>
      </c>
      <c r="H93" s="7">
        <v>7948</v>
      </c>
      <c r="I93" s="7">
        <v>11686</v>
      </c>
      <c r="J93" s="7">
        <f t="shared" si="3"/>
        <v>55636</v>
      </c>
      <c r="K93" s="7">
        <f t="shared" si="4"/>
        <v>81802</v>
      </c>
      <c r="L93" s="8">
        <f t="shared" si="5"/>
        <v>26166</v>
      </c>
    </row>
    <row r="94" spans="1:12" x14ac:dyDescent="0.3">
      <c r="A94" s="8" t="s">
        <v>122</v>
      </c>
      <c r="B94" s="9">
        <v>45019</v>
      </c>
      <c r="C94" s="8" t="s">
        <v>12</v>
      </c>
      <c r="D94" s="8" t="s">
        <v>17</v>
      </c>
      <c r="E94" s="8" t="s">
        <v>14</v>
      </c>
      <c r="F94" s="8" t="s">
        <v>22</v>
      </c>
      <c r="G94" s="7">
        <v>5</v>
      </c>
      <c r="H94" s="7">
        <v>12571</v>
      </c>
      <c r="I94" s="7">
        <v>20774</v>
      </c>
      <c r="J94" s="7">
        <f t="shared" si="3"/>
        <v>62855</v>
      </c>
      <c r="K94" s="7">
        <f t="shared" si="4"/>
        <v>103870</v>
      </c>
      <c r="L94" s="8">
        <f t="shared" si="5"/>
        <v>41015</v>
      </c>
    </row>
    <row r="95" spans="1:12" x14ac:dyDescent="0.3">
      <c r="A95" s="8" t="s">
        <v>123</v>
      </c>
      <c r="B95" s="9">
        <v>45020</v>
      </c>
      <c r="C95" s="8" t="s">
        <v>23</v>
      </c>
      <c r="D95" s="8" t="s">
        <v>24</v>
      </c>
      <c r="E95" s="8" t="s">
        <v>18</v>
      </c>
      <c r="F95" s="8" t="s">
        <v>19</v>
      </c>
      <c r="G95" s="7">
        <v>7</v>
      </c>
      <c r="H95" s="7">
        <v>11880</v>
      </c>
      <c r="I95" s="7">
        <v>12597</v>
      </c>
      <c r="J95" s="7">
        <f t="shared" si="3"/>
        <v>83160</v>
      </c>
      <c r="K95" s="7">
        <f t="shared" si="4"/>
        <v>88179</v>
      </c>
      <c r="L95" s="8">
        <f t="shared" si="5"/>
        <v>5019</v>
      </c>
    </row>
    <row r="96" spans="1:12" x14ac:dyDescent="0.3">
      <c r="A96" s="8" t="s">
        <v>124</v>
      </c>
      <c r="B96" s="9">
        <v>45021</v>
      </c>
      <c r="C96" s="8" t="s">
        <v>16</v>
      </c>
      <c r="D96" s="8" t="s">
        <v>27</v>
      </c>
      <c r="E96" s="8" t="s">
        <v>18</v>
      </c>
      <c r="F96" s="8" t="s">
        <v>25</v>
      </c>
      <c r="G96" s="7">
        <v>4</v>
      </c>
      <c r="H96" s="7">
        <v>14808</v>
      </c>
      <c r="I96" s="7">
        <v>23237</v>
      </c>
      <c r="J96" s="7">
        <f t="shared" si="3"/>
        <v>59232</v>
      </c>
      <c r="K96" s="7">
        <f t="shared" si="4"/>
        <v>92948</v>
      </c>
      <c r="L96" s="8">
        <f t="shared" si="5"/>
        <v>33716</v>
      </c>
    </row>
    <row r="97" spans="1:12" x14ac:dyDescent="0.3">
      <c r="A97" s="8" t="s">
        <v>125</v>
      </c>
      <c r="B97" s="9">
        <v>45022</v>
      </c>
      <c r="C97" s="8" t="s">
        <v>12</v>
      </c>
      <c r="D97" s="8" t="s">
        <v>29</v>
      </c>
      <c r="E97" s="8" t="s">
        <v>14</v>
      </c>
      <c r="F97" s="8" t="s">
        <v>20</v>
      </c>
      <c r="G97" s="7">
        <v>9</v>
      </c>
      <c r="H97" s="7">
        <v>14728</v>
      </c>
      <c r="I97" s="7">
        <v>19569</v>
      </c>
      <c r="J97" s="7">
        <f t="shared" si="3"/>
        <v>132552</v>
      </c>
      <c r="K97" s="7">
        <f t="shared" si="4"/>
        <v>176121</v>
      </c>
      <c r="L97" s="8">
        <f t="shared" si="5"/>
        <v>43569</v>
      </c>
    </row>
    <row r="98" spans="1:12" x14ac:dyDescent="0.3">
      <c r="A98" s="8" t="s">
        <v>126</v>
      </c>
      <c r="B98" s="9">
        <v>45023</v>
      </c>
      <c r="C98" s="8" t="s">
        <v>26</v>
      </c>
      <c r="D98" s="8" t="s">
        <v>29</v>
      </c>
      <c r="E98" s="8" t="s">
        <v>18</v>
      </c>
      <c r="F98" s="8" t="s">
        <v>28</v>
      </c>
      <c r="G98" s="7">
        <v>10</v>
      </c>
      <c r="H98" s="7">
        <v>21577</v>
      </c>
      <c r="I98" s="7">
        <v>24858</v>
      </c>
      <c r="J98" s="7">
        <f t="shared" si="3"/>
        <v>215770</v>
      </c>
      <c r="K98" s="7">
        <f t="shared" si="4"/>
        <v>248580</v>
      </c>
      <c r="L98" s="8">
        <f t="shared" si="5"/>
        <v>32810</v>
      </c>
    </row>
    <row r="99" spans="1:12" x14ac:dyDescent="0.3">
      <c r="A99" s="8" t="s">
        <v>127</v>
      </c>
      <c r="B99" s="9">
        <v>45024</v>
      </c>
      <c r="C99" s="8" t="s">
        <v>26</v>
      </c>
      <c r="D99" s="8" t="s">
        <v>21</v>
      </c>
      <c r="E99" s="8" t="s">
        <v>14</v>
      </c>
      <c r="F99" s="8" t="s">
        <v>22</v>
      </c>
      <c r="G99" s="7">
        <v>1</v>
      </c>
      <c r="H99" s="7">
        <v>20680</v>
      </c>
      <c r="I99" s="7">
        <v>24395</v>
      </c>
      <c r="J99" s="7">
        <f t="shared" si="3"/>
        <v>20680</v>
      </c>
      <c r="K99" s="7">
        <f t="shared" si="4"/>
        <v>24395</v>
      </c>
      <c r="L99" s="8">
        <f t="shared" si="5"/>
        <v>3715</v>
      </c>
    </row>
    <row r="100" spans="1:12" x14ac:dyDescent="0.3">
      <c r="A100" s="8" t="s">
        <v>128</v>
      </c>
      <c r="B100" s="9">
        <v>45025</v>
      </c>
      <c r="C100" s="8" t="s">
        <v>26</v>
      </c>
      <c r="D100" s="8" t="s">
        <v>21</v>
      </c>
      <c r="E100" s="8" t="s">
        <v>18</v>
      </c>
      <c r="F100" s="8" t="s">
        <v>19</v>
      </c>
      <c r="G100" s="7">
        <v>4</v>
      </c>
      <c r="H100" s="7">
        <v>2704</v>
      </c>
      <c r="I100" s="7">
        <v>3473</v>
      </c>
      <c r="J100" s="7">
        <f t="shared" si="3"/>
        <v>10816</v>
      </c>
      <c r="K100" s="7">
        <f t="shared" si="4"/>
        <v>13892</v>
      </c>
      <c r="L100" s="8">
        <f t="shared" si="5"/>
        <v>3076</v>
      </c>
    </row>
    <row r="101" spans="1:12" x14ac:dyDescent="0.3">
      <c r="A101" s="8" t="s">
        <v>129</v>
      </c>
      <c r="B101" s="9">
        <v>45026</v>
      </c>
      <c r="C101" s="8" t="s">
        <v>23</v>
      </c>
      <c r="D101" s="8" t="s">
        <v>29</v>
      </c>
      <c r="E101" s="8" t="s">
        <v>14</v>
      </c>
      <c r="F101" s="8" t="s">
        <v>15</v>
      </c>
      <c r="G101" s="7">
        <v>4</v>
      </c>
      <c r="H101" s="7">
        <v>13297</v>
      </c>
      <c r="I101" s="7">
        <v>21897</v>
      </c>
      <c r="J101" s="7">
        <f t="shared" si="3"/>
        <v>53188</v>
      </c>
      <c r="K101" s="7">
        <f t="shared" si="4"/>
        <v>87588</v>
      </c>
      <c r="L101" s="8">
        <f t="shared" si="5"/>
        <v>34400</v>
      </c>
    </row>
    <row r="102" spans="1:12" x14ac:dyDescent="0.3">
      <c r="A102" s="8" t="s">
        <v>130</v>
      </c>
      <c r="B102" s="9">
        <v>45027</v>
      </c>
      <c r="C102" s="8" t="s">
        <v>16</v>
      </c>
      <c r="D102" s="8" t="s">
        <v>29</v>
      </c>
      <c r="E102" s="8" t="s">
        <v>14</v>
      </c>
      <c r="F102" s="8" t="s">
        <v>22</v>
      </c>
      <c r="G102" s="7">
        <v>1</v>
      </c>
      <c r="H102" s="7">
        <v>5827</v>
      </c>
      <c r="I102" s="7">
        <v>13208</v>
      </c>
      <c r="J102" s="7">
        <f t="shared" si="3"/>
        <v>5827</v>
      </c>
      <c r="K102" s="7">
        <f t="shared" si="4"/>
        <v>13208</v>
      </c>
      <c r="L102" s="8">
        <f t="shared" si="5"/>
        <v>7381</v>
      </c>
    </row>
    <row r="103" spans="1:12" x14ac:dyDescent="0.3">
      <c r="A103" s="8" t="s">
        <v>131</v>
      </c>
      <c r="B103" s="9">
        <v>45028</v>
      </c>
      <c r="C103" s="8" t="s">
        <v>26</v>
      </c>
      <c r="D103" s="8" t="s">
        <v>21</v>
      </c>
      <c r="E103" s="8" t="s">
        <v>18</v>
      </c>
      <c r="F103" s="8" t="s">
        <v>19</v>
      </c>
      <c r="G103" s="7">
        <v>1</v>
      </c>
      <c r="H103" s="7">
        <v>31429</v>
      </c>
      <c r="I103" s="7">
        <v>38435</v>
      </c>
      <c r="J103" s="7">
        <f t="shared" si="3"/>
        <v>31429</v>
      </c>
      <c r="K103" s="7">
        <f t="shared" si="4"/>
        <v>38435</v>
      </c>
      <c r="L103" s="8">
        <f t="shared" si="5"/>
        <v>7006</v>
      </c>
    </row>
    <row r="104" spans="1:12" x14ac:dyDescent="0.3">
      <c r="A104" s="8" t="s">
        <v>132</v>
      </c>
      <c r="B104" s="9">
        <v>45029</v>
      </c>
      <c r="C104" s="8" t="s">
        <v>16</v>
      </c>
      <c r="D104" s="8" t="s">
        <v>21</v>
      </c>
      <c r="E104" s="8" t="s">
        <v>18</v>
      </c>
      <c r="F104" s="8" t="s">
        <v>28</v>
      </c>
      <c r="G104" s="7">
        <v>5</v>
      </c>
      <c r="H104" s="7">
        <v>16593</v>
      </c>
      <c r="I104" s="7">
        <v>21660</v>
      </c>
      <c r="J104" s="7">
        <f t="shared" si="3"/>
        <v>82965</v>
      </c>
      <c r="K104" s="7">
        <f t="shared" si="4"/>
        <v>108300</v>
      </c>
      <c r="L104" s="8">
        <f t="shared" si="5"/>
        <v>25335</v>
      </c>
    </row>
    <row r="105" spans="1:12" x14ac:dyDescent="0.3">
      <c r="A105" s="8" t="s">
        <v>133</v>
      </c>
      <c r="B105" s="9">
        <v>45030</v>
      </c>
      <c r="C105" s="8" t="s">
        <v>12</v>
      </c>
      <c r="D105" s="8" t="s">
        <v>29</v>
      </c>
      <c r="E105" s="8" t="s">
        <v>14</v>
      </c>
      <c r="F105" s="8" t="s">
        <v>20</v>
      </c>
      <c r="G105" s="7">
        <v>9</v>
      </c>
      <c r="H105" s="7">
        <v>33997</v>
      </c>
      <c r="I105" s="7">
        <v>38959</v>
      </c>
      <c r="J105" s="7">
        <f t="shared" si="3"/>
        <v>305973</v>
      </c>
      <c r="K105" s="7">
        <f t="shared" si="4"/>
        <v>350631</v>
      </c>
      <c r="L105" s="8">
        <f t="shared" si="5"/>
        <v>44658</v>
      </c>
    </row>
    <row r="106" spans="1:12" x14ac:dyDescent="0.3">
      <c r="A106" s="8" t="s">
        <v>134</v>
      </c>
      <c r="B106" s="9">
        <v>45031</v>
      </c>
      <c r="C106" s="8" t="s">
        <v>16</v>
      </c>
      <c r="D106" s="8" t="s">
        <v>13</v>
      </c>
      <c r="E106" s="8" t="s">
        <v>18</v>
      </c>
      <c r="F106" s="8" t="s">
        <v>19</v>
      </c>
      <c r="G106" s="7">
        <v>10</v>
      </c>
      <c r="H106" s="7">
        <v>9833</v>
      </c>
      <c r="I106" s="7">
        <v>19037</v>
      </c>
      <c r="J106" s="7">
        <f t="shared" si="3"/>
        <v>98330</v>
      </c>
      <c r="K106" s="7">
        <f t="shared" si="4"/>
        <v>190370</v>
      </c>
      <c r="L106" s="8">
        <f t="shared" si="5"/>
        <v>92040</v>
      </c>
    </row>
    <row r="107" spans="1:12" x14ac:dyDescent="0.3">
      <c r="A107" s="8" t="s">
        <v>135</v>
      </c>
      <c r="B107" s="9">
        <v>45032</v>
      </c>
      <c r="C107" s="8" t="s">
        <v>26</v>
      </c>
      <c r="D107" s="8" t="s">
        <v>29</v>
      </c>
      <c r="E107" s="8" t="s">
        <v>14</v>
      </c>
      <c r="F107" s="8" t="s">
        <v>15</v>
      </c>
      <c r="G107" s="7">
        <v>8</v>
      </c>
      <c r="H107" s="7">
        <v>20239</v>
      </c>
      <c r="I107" s="7">
        <v>28077</v>
      </c>
      <c r="J107" s="7">
        <f t="shared" si="3"/>
        <v>161912</v>
      </c>
      <c r="K107" s="7">
        <f t="shared" si="4"/>
        <v>224616</v>
      </c>
      <c r="L107" s="8">
        <f t="shared" si="5"/>
        <v>62704</v>
      </c>
    </row>
    <row r="108" spans="1:12" x14ac:dyDescent="0.3">
      <c r="A108" s="8" t="s">
        <v>136</v>
      </c>
      <c r="B108" s="9">
        <v>45033</v>
      </c>
      <c r="C108" s="8" t="s">
        <v>16</v>
      </c>
      <c r="D108" s="8" t="s">
        <v>27</v>
      </c>
      <c r="E108" s="8" t="s">
        <v>14</v>
      </c>
      <c r="F108" s="8" t="s">
        <v>22</v>
      </c>
      <c r="G108" s="7">
        <v>8</v>
      </c>
      <c r="H108" s="7">
        <v>3114</v>
      </c>
      <c r="I108" s="7">
        <v>7046</v>
      </c>
      <c r="J108" s="7">
        <f t="shared" si="3"/>
        <v>24912</v>
      </c>
      <c r="K108" s="7">
        <f t="shared" si="4"/>
        <v>56368</v>
      </c>
      <c r="L108" s="8">
        <f t="shared" si="5"/>
        <v>31456</v>
      </c>
    </row>
    <row r="109" spans="1:12" x14ac:dyDescent="0.3">
      <c r="A109" s="8" t="s">
        <v>137</v>
      </c>
      <c r="B109" s="9">
        <v>45034</v>
      </c>
      <c r="C109" s="8" t="s">
        <v>26</v>
      </c>
      <c r="D109" s="8" t="s">
        <v>17</v>
      </c>
      <c r="E109" s="8" t="s">
        <v>14</v>
      </c>
      <c r="F109" s="8" t="s">
        <v>20</v>
      </c>
      <c r="G109" s="7">
        <v>5</v>
      </c>
      <c r="H109" s="7">
        <v>24468</v>
      </c>
      <c r="I109" s="7">
        <v>24901</v>
      </c>
      <c r="J109" s="7">
        <f t="shared" si="3"/>
        <v>122340</v>
      </c>
      <c r="K109" s="7">
        <f t="shared" si="4"/>
        <v>124505</v>
      </c>
      <c r="L109" s="8">
        <f t="shared" si="5"/>
        <v>2165</v>
      </c>
    </row>
    <row r="110" spans="1:12" x14ac:dyDescent="0.3">
      <c r="A110" s="8" t="s">
        <v>138</v>
      </c>
      <c r="B110" s="9">
        <v>45035</v>
      </c>
      <c r="C110" s="8" t="s">
        <v>23</v>
      </c>
      <c r="D110" s="8" t="s">
        <v>17</v>
      </c>
      <c r="E110" s="8" t="s">
        <v>14</v>
      </c>
      <c r="F110" s="8" t="s">
        <v>20</v>
      </c>
      <c r="G110" s="7">
        <v>3</v>
      </c>
      <c r="H110" s="7">
        <v>31720</v>
      </c>
      <c r="I110" s="7">
        <v>39258</v>
      </c>
      <c r="J110" s="7">
        <f t="shared" si="3"/>
        <v>95160</v>
      </c>
      <c r="K110" s="7">
        <f t="shared" si="4"/>
        <v>117774</v>
      </c>
      <c r="L110" s="8">
        <f t="shared" si="5"/>
        <v>22614</v>
      </c>
    </row>
    <row r="111" spans="1:12" x14ac:dyDescent="0.3">
      <c r="A111" s="8" t="s">
        <v>139</v>
      </c>
      <c r="B111" s="9">
        <v>45036</v>
      </c>
      <c r="C111" s="8" t="s">
        <v>12</v>
      </c>
      <c r="D111" s="8" t="s">
        <v>24</v>
      </c>
      <c r="E111" s="8" t="s">
        <v>14</v>
      </c>
      <c r="F111" s="8" t="s">
        <v>22</v>
      </c>
      <c r="G111" s="7">
        <v>9</v>
      </c>
      <c r="H111" s="7">
        <v>22453</v>
      </c>
      <c r="I111" s="7">
        <v>30784</v>
      </c>
      <c r="J111" s="7">
        <f t="shared" si="3"/>
        <v>202077</v>
      </c>
      <c r="K111" s="7">
        <f t="shared" si="4"/>
        <v>277056</v>
      </c>
      <c r="L111" s="8">
        <f t="shared" si="5"/>
        <v>74979</v>
      </c>
    </row>
    <row r="112" spans="1:12" x14ac:dyDescent="0.3">
      <c r="A112" s="8" t="s">
        <v>140</v>
      </c>
      <c r="B112" s="9">
        <v>45037</v>
      </c>
      <c r="C112" s="8" t="s">
        <v>16</v>
      </c>
      <c r="D112" s="8" t="s">
        <v>29</v>
      </c>
      <c r="E112" s="8" t="s">
        <v>14</v>
      </c>
      <c r="F112" s="8" t="s">
        <v>15</v>
      </c>
      <c r="G112" s="7">
        <v>8</v>
      </c>
      <c r="H112" s="7">
        <v>7053</v>
      </c>
      <c r="I112" s="7">
        <v>16102</v>
      </c>
      <c r="J112" s="7">
        <f t="shared" si="3"/>
        <v>56424</v>
      </c>
      <c r="K112" s="7">
        <f t="shared" si="4"/>
        <v>128816</v>
      </c>
      <c r="L112" s="8">
        <f t="shared" si="5"/>
        <v>72392</v>
      </c>
    </row>
    <row r="113" spans="1:12" x14ac:dyDescent="0.3">
      <c r="A113" s="8" t="s">
        <v>141</v>
      </c>
      <c r="B113" s="9">
        <v>45038</v>
      </c>
      <c r="C113" s="8" t="s">
        <v>26</v>
      </c>
      <c r="D113" s="8" t="s">
        <v>29</v>
      </c>
      <c r="E113" s="8" t="s">
        <v>14</v>
      </c>
      <c r="F113" s="8" t="s">
        <v>20</v>
      </c>
      <c r="G113" s="7">
        <v>1</v>
      </c>
      <c r="H113" s="7">
        <v>26743</v>
      </c>
      <c r="I113" s="7">
        <v>32385</v>
      </c>
      <c r="J113" s="7">
        <f t="shared" si="3"/>
        <v>26743</v>
      </c>
      <c r="K113" s="7">
        <f t="shared" si="4"/>
        <v>32385</v>
      </c>
      <c r="L113" s="8">
        <f t="shared" si="5"/>
        <v>5642</v>
      </c>
    </row>
    <row r="114" spans="1:12" x14ac:dyDescent="0.3">
      <c r="A114" s="8" t="s">
        <v>142</v>
      </c>
      <c r="B114" s="9">
        <v>45039</v>
      </c>
      <c r="C114" s="8" t="s">
        <v>23</v>
      </c>
      <c r="D114" s="8" t="s">
        <v>27</v>
      </c>
      <c r="E114" s="8" t="s">
        <v>18</v>
      </c>
      <c r="F114" s="8" t="s">
        <v>28</v>
      </c>
      <c r="G114" s="7">
        <v>9</v>
      </c>
      <c r="H114" s="7">
        <v>31940</v>
      </c>
      <c r="I114" s="7">
        <v>41177</v>
      </c>
      <c r="J114" s="7">
        <f t="shared" si="3"/>
        <v>287460</v>
      </c>
      <c r="K114" s="7">
        <f t="shared" si="4"/>
        <v>370593</v>
      </c>
      <c r="L114" s="8">
        <f t="shared" si="5"/>
        <v>83133</v>
      </c>
    </row>
    <row r="115" spans="1:12" x14ac:dyDescent="0.3">
      <c r="A115" s="8" t="s">
        <v>143</v>
      </c>
      <c r="B115" s="9">
        <v>45040</v>
      </c>
      <c r="C115" s="8" t="s">
        <v>23</v>
      </c>
      <c r="D115" s="8" t="s">
        <v>29</v>
      </c>
      <c r="E115" s="8" t="s">
        <v>18</v>
      </c>
      <c r="F115" s="8" t="s">
        <v>25</v>
      </c>
      <c r="G115" s="7">
        <v>3</v>
      </c>
      <c r="H115" s="7">
        <v>11414</v>
      </c>
      <c r="I115" s="7">
        <v>15330</v>
      </c>
      <c r="J115" s="7">
        <f t="shared" si="3"/>
        <v>34242</v>
      </c>
      <c r="K115" s="7">
        <f t="shared" si="4"/>
        <v>45990</v>
      </c>
      <c r="L115" s="8">
        <f t="shared" si="5"/>
        <v>11748</v>
      </c>
    </row>
    <row r="116" spans="1:12" x14ac:dyDescent="0.3">
      <c r="A116" s="8" t="s">
        <v>144</v>
      </c>
      <c r="B116" s="9">
        <v>45041</v>
      </c>
      <c r="C116" s="8" t="s">
        <v>16</v>
      </c>
      <c r="D116" s="8" t="s">
        <v>17</v>
      </c>
      <c r="E116" s="8" t="s">
        <v>14</v>
      </c>
      <c r="F116" s="8" t="s">
        <v>22</v>
      </c>
      <c r="G116" s="7">
        <v>6</v>
      </c>
      <c r="H116" s="7">
        <v>29348</v>
      </c>
      <c r="I116" s="7">
        <v>31954</v>
      </c>
      <c r="J116" s="7">
        <f t="shared" si="3"/>
        <v>176088</v>
      </c>
      <c r="K116" s="7">
        <f t="shared" si="4"/>
        <v>191724</v>
      </c>
      <c r="L116" s="8">
        <f t="shared" si="5"/>
        <v>15636</v>
      </c>
    </row>
    <row r="117" spans="1:12" x14ac:dyDescent="0.3">
      <c r="A117" s="8" t="s">
        <v>145</v>
      </c>
      <c r="B117" s="9">
        <v>45042</v>
      </c>
      <c r="C117" s="8" t="s">
        <v>26</v>
      </c>
      <c r="D117" s="8" t="s">
        <v>27</v>
      </c>
      <c r="E117" s="8" t="s">
        <v>18</v>
      </c>
      <c r="F117" s="8" t="s">
        <v>28</v>
      </c>
      <c r="G117" s="7">
        <v>9</v>
      </c>
      <c r="H117" s="7">
        <v>35944</v>
      </c>
      <c r="I117" s="7">
        <v>39579</v>
      </c>
      <c r="J117" s="7">
        <f t="shared" si="3"/>
        <v>323496</v>
      </c>
      <c r="K117" s="7">
        <f t="shared" si="4"/>
        <v>356211</v>
      </c>
      <c r="L117" s="8">
        <f t="shared" si="5"/>
        <v>32715</v>
      </c>
    </row>
    <row r="118" spans="1:12" x14ac:dyDescent="0.3">
      <c r="A118" s="8" t="s">
        <v>146</v>
      </c>
      <c r="B118" s="9">
        <v>45043</v>
      </c>
      <c r="C118" s="8" t="s">
        <v>16</v>
      </c>
      <c r="D118" s="8" t="s">
        <v>13</v>
      </c>
      <c r="E118" s="8" t="s">
        <v>14</v>
      </c>
      <c r="F118" s="8" t="s">
        <v>20</v>
      </c>
      <c r="G118" s="7">
        <v>4</v>
      </c>
      <c r="H118" s="7">
        <v>10728</v>
      </c>
      <c r="I118" s="7">
        <v>13095</v>
      </c>
      <c r="J118" s="7">
        <f t="shared" si="3"/>
        <v>42912</v>
      </c>
      <c r="K118" s="7">
        <f t="shared" si="4"/>
        <v>52380</v>
      </c>
      <c r="L118" s="8">
        <f t="shared" si="5"/>
        <v>9468</v>
      </c>
    </row>
    <row r="119" spans="1:12" x14ac:dyDescent="0.3">
      <c r="A119" s="8" t="s">
        <v>147</v>
      </c>
      <c r="B119" s="9">
        <v>45044</v>
      </c>
      <c r="C119" s="8" t="s">
        <v>16</v>
      </c>
      <c r="D119" s="8" t="s">
        <v>17</v>
      </c>
      <c r="E119" s="8" t="s">
        <v>14</v>
      </c>
      <c r="F119" s="8" t="s">
        <v>15</v>
      </c>
      <c r="G119" s="7">
        <v>7</v>
      </c>
      <c r="H119" s="7">
        <v>4640</v>
      </c>
      <c r="I119" s="7">
        <v>6725</v>
      </c>
      <c r="J119" s="7">
        <f t="shared" si="3"/>
        <v>32480</v>
      </c>
      <c r="K119" s="7">
        <f t="shared" si="4"/>
        <v>47075</v>
      </c>
      <c r="L119" s="8">
        <f t="shared" si="5"/>
        <v>14595</v>
      </c>
    </row>
    <row r="120" spans="1:12" x14ac:dyDescent="0.3">
      <c r="A120" s="8" t="s">
        <v>148</v>
      </c>
      <c r="B120" s="9">
        <v>45045</v>
      </c>
      <c r="C120" s="8" t="s">
        <v>26</v>
      </c>
      <c r="D120" s="8" t="s">
        <v>13</v>
      </c>
      <c r="E120" s="8" t="s">
        <v>18</v>
      </c>
      <c r="F120" s="8" t="s">
        <v>25</v>
      </c>
      <c r="G120" s="7">
        <v>9</v>
      </c>
      <c r="H120" s="7">
        <v>10268</v>
      </c>
      <c r="I120" s="7">
        <v>20253</v>
      </c>
      <c r="J120" s="7">
        <f t="shared" si="3"/>
        <v>92412</v>
      </c>
      <c r="K120" s="7">
        <f t="shared" si="4"/>
        <v>182277</v>
      </c>
      <c r="L120" s="8">
        <f t="shared" si="5"/>
        <v>89865</v>
      </c>
    </row>
    <row r="121" spans="1:12" x14ac:dyDescent="0.3">
      <c r="A121" s="8" t="s">
        <v>149</v>
      </c>
      <c r="B121" s="9">
        <v>45046</v>
      </c>
      <c r="C121" s="8" t="s">
        <v>12</v>
      </c>
      <c r="D121" s="8" t="s">
        <v>17</v>
      </c>
      <c r="E121" s="8" t="s">
        <v>18</v>
      </c>
      <c r="F121" s="8" t="s">
        <v>19</v>
      </c>
      <c r="G121" s="7">
        <v>7</v>
      </c>
      <c r="H121" s="7">
        <v>32620</v>
      </c>
      <c r="I121" s="7">
        <v>35560</v>
      </c>
      <c r="J121" s="7">
        <f t="shared" si="3"/>
        <v>228340</v>
      </c>
      <c r="K121" s="7">
        <f t="shared" si="4"/>
        <v>248920</v>
      </c>
      <c r="L121" s="8">
        <f t="shared" si="5"/>
        <v>20580</v>
      </c>
    </row>
    <row r="122" spans="1:12" x14ac:dyDescent="0.3">
      <c r="A122" s="8" t="s">
        <v>150</v>
      </c>
      <c r="B122" s="9">
        <v>45047</v>
      </c>
      <c r="C122" s="8" t="s">
        <v>26</v>
      </c>
      <c r="D122" s="8" t="s">
        <v>29</v>
      </c>
      <c r="E122" s="8" t="s">
        <v>14</v>
      </c>
      <c r="F122" s="8" t="s">
        <v>22</v>
      </c>
      <c r="G122" s="7">
        <v>9</v>
      </c>
      <c r="H122" s="7">
        <v>22858</v>
      </c>
      <c r="I122" s="7">
        <v>27537</v>
      </c>
      <c r="J122" s="7">
        <f t="shared" si="3"/>
        <v>205722</v>
      </c>
      <c r="K122" s="7">
        <f t="shared" si="4"/>
        <v>247833</v>
      </c>
      <c r="L122" s="8">
        <f t="shared" si="5"/>
        <v>42111</v>
      </c>
    </row>
    <row r="123" spans="1:12" x14ac:dyDescent="0.3">
      <c r="A123" s="8" t="s">
        <v>151</v>
      </c>
      <c r="B123" s="9">
        <v>45048</v>
      </c>
      <c r="C123" s="8" t="s">
        <v>12</v>
      </c>
      <c r="D123" s="8" t="s">
        <v>17</v>
      </c>
      <c r="E123" s="8" t="s">
        <v>14</v>
      </c>
      <c r="F123" s="8" t="s">
        <v>22</v>
      </c>
      <c r="G123" s="7">
        <v>9</v>
      </c>
      <c r="H123" s="7">
        <v>9650</v>
      </c>
      <c r="I123" s="7">
        <v>19095</v>
      </c>
      <c r="J123" s="7">
        <f t="shared" si="3"/>
        <v>86850</v>
      </c>
      <c r="K123" s="7">
        <f t="shared" si="4"/>
        <v>171855</v>
      </c>
      <c r="L123" s="8">
        <f t="shared" si="5"/>
        <v>85005</v>
      </c>
    </row>
    <row r="124" spans="1:12" x14ac:dyDescent="0.3">
      <c r="A124" s="8" t="s">
        <v>152</v>
      </c>
      <c r="B124" s="9">
        <v>45049</v>
      </c>
      <c r="C124" s="8" t="s">
        <v>12</v>
      </c>
      <c r="D124" s="8" t="s">
        <v>13</v>
      </c>
      <c r="E124" s="8" t="s">
        <v>18</v>
      </c>
      <c r="F124" s="8" t="s">
        <v>19</v>
      </c>
      <c r="G124" s="7">
        <v>7</v>
      </c>
      <c r="H124" s="7">
        <v>23050</v>
      </c>
      <c r="I124" s="7">
        <v>26386</v>
      </c>
      <c r="J124" s="7">
        <f t="shared" si="3"/>
        <v>161350</v>
      </c>
      <c r="K124" s="7">
        <f t="shared" si="4"/>
        <v>184702</v>
      </c>
      <c r="L124" s="8">
        <f t="shared" si="5"/>
        <v>23352</v>
      </c>
    </row>
    <row r="125" spans="1:12" x14ac:dyDescent="0.3">
      <c r="A125" s="8" t="s">
        <v>153</v>
      </c>
      <c r="B125" s="9">
        <v>45050</v>
      </c>
      <c r="C125" s="8" t="s">
        <v>12</v>
      </c>
      <c r="D125" s="8" t="s">
        <v>27</v>
      </c>
      <c r="E125" s="8" t="s">
        <v>14</v>
      </c>
      <c r="F125" s="8" t="s">
        <v>20</v>
      </c>
      <c r="G125" s="7">
        <v>5</v>
      </c>
      <c r="H125" s="7">
        <v>2278</v>
      </c>
      <c r="I125" s="7">
        <v>10813</v>
      </c>
      <c r="J125" s="7">
        <f t="shared" si="3"/>
        <v>11390</v>
      </c>
      <c r="K125" s="7">
        <f t="shared" si="4"/>
        <v>54065</v>
      </c>
      <c r="L125" s="8">
        <f t="shared" si="5"/>
        <v>42675</v>
      </c>
    </row>
    <row r="126" spans="1:12" x14ac:dyDescent="0.3">
      <c r="A126" s="8" t="s">
        <v>154</v>
      </c>
      <c r="B126" s="9">
        <v>45051</v>
      </c>
      <c r="C126" s="8" t="s">
        <v>16</v>
      </c>
      <c r="D126" s="8" t="s">
        <v>13</v>
      </c>
      <c r="E126" s="8" t="s">
        <v>14</v>
      </c>
      <c r="F126" s="8" t="s">
        <v>22</v>
      </c>
      <c r="G126" s="7">
        <v>2</v>
      </c>
      <c r="H126" s="7">
        <v>31576</v>
      </c>
      <c r="I126" s="7">
        <v>32037</v>
      </c>
      <c r="J126" s="7">
        <f t="shared" si="3"/>
        <v>63152</v>
      </c>
      <c r="K126" s="7">
        <f t="shared" si="4"/>
        <v>64074</v>
      </c>
      <c r="L126" s="8">
        <f t="shared" si="5"/>
        <v>922</v>
      </c>
    </row>
    <row r="127" spans="1:12" x14ac:dyDescent="0.3">
      <c r="A127" s="8" t="s">
        <v>155</v>
      </c>
      <c r="B127" s="9">
        <v>45052</v>
      </c>
      <c r="C127" s="8" t="s">
        <v>12</v>
      </c>
      <c r="D127" s="8" t="s">
        <v>13</v>
      </c>
      <c r="E127" s="8" t="s">
        <v>14</v>
      </c>
      <c r="F127" s="8" t="s">
        <v>20</v>
      </c>
      <c r="G127" s="7">
        <v>1</v>
      </c>
      <c r="H127" s="7">
        <v>31405</v>
      </c>
      <c r="I127" s="7">
        <v>38163</v>
      </c>
      <c r="J127" s="7">
        <f t="shared" si="3"/>
        <v>31405</v>
      </c>
      <c r="K127" s="7">
        <f t="shared" si="4"/>
        <v>38163</v>
      </c>
      <c r="L127" s="8">
        <f t="shared" si="5"/>
        <v>6758</v>
      </c>
    </row>
    <row r="128" spans="1:12" x14ac:dyDescent="0.3">
      <c r="A128" s="8" t="s">
        <v>156</v>
      </c>
      <c r="B128" s="9">
        <v>45053</v>
      </c>
      <c r="C128" s="8" t="s">
        <v>26</v>
      </c>
      <c r="D128" s="8" t="s">
        <v>17</v>
      </c>
      <c r="E128" s="8" t="s">
        <v>14</v>
      </c>
      <c r="F128" s="8" t="s">
        <v>22</v>
      </c>
      <c r="G128" s="7">
        <v>4</v>
      </c>
      <c r="H128" s="7">
        <v>18621</v>
      </c>
      <c r="I128" s="7">
        <v>27256</v>
      </c>
      <c r="J128" s="7">
        <f t="shared" si="3"/>
        <v>74484</v>
      </c>
      <c r="K128" s="7">
        <f t="shared" si="4"/>
        <v>109024</v>
      </c>
      <c r="L128" s="8">
        <f t="shared" si="5"/>
        <v>34540</v>
      </c>
    </row>
    <row r="129" spans="1:12" x14ac:dyDescent="0.3">
      <c r="A129" s="8" t="s">
        <v>157</v>
      </c>
      <c r="B129" s="9">
        <v>45054</v>
      </c>
      <c r="C129" s="8" t="s">
        <v>23</v>
      </c>
      <c r="D129" s="8" t="s">
        <v>21</v>
      </c>
      <c r="E129" s="8" t="s">
        <v>18</v>
      </c>
      <c r="F129" s="8" t="s">
        <v>19</v>
      </c>
      <c r="G129" s="7">
        <v>3</v>
      </c>
      <c r="H129" s="7">
        <v>33463</v>
      </c>
      <c r="I129" s="7">
        <v>39589</v>
      </c>
      <c r="J129" s="7">
        <f t="shared" si="3"/>
        <v>100389</v>
      </c>
      <c r="K129" s="7">
        <f t="shared" si="4"/>
        <v>118767</v>
      </c>
      <c r="L129" s="8">
        <f t="shared" si="5"/>
        <v>18378</v>
      </c>
    </row>
    <row r="130" spans="1:12" x14ac:dyDescent="0.3">
      <c r="A130" s="8" t="s">
        <v>158</v>
      </c>
      <c r="B130" s="9">
        <v>45055</v>
      </c>
      <c r="C130" s="8" t="s">
        <v>16</v>
      </c>
      <c r="D130" s="8" t="s">
        <v>17</v>
      </c>
      <c r="E130" s="8" t="s">
        <v>14</v>
      </c>
      <c r="F130" s="8" t="s">
        <v>22</v>
      </c>
      <c r="G130" s="7">
        <v>2</v>
      </c>
      <c r="H130" s="7">
        <v>24639</v>
      </c>
      <c r="I130" s="7">
        <v>33085</v>
      </c>
      <c r="J130" s="7">
        <f t="shared" si="3"/>
        <v>49278</v>
      </c>
      <c r="K130" s="7">
        <f t="shared" si="4"/>
        <v>66170</v>
      </c>
      <c r="L130" s="8">
        <f t="shared" si="5"/>
        <v>16892</v>
      </c>
    </row>
    <row r="131" spans="1:12" x14ac:dyDescent="0.3">
      <c r="A131" s="8" t="s">
        <v>159</v>
      </c>
      <c r="B131" s="9">
        <v>45056</v>
      </c>
      <c r="C131" s="8" t="s">
        <v>26</v>
      </c>
      <c r="D131" s="8" t="s">
        <v>13</v>
      </c>
      <c r="E131" s="8" t="s">
        <v>18</v>
      </c>
      <c r="F131" s="8" t="s">
        <v>25</v>
      </c>
      <c r="G131" s="7">
        <v>10</v>
      </c>
      <c r="H131" s="7">
        <v>38923</v>
      </c>
      <c r="I131" s="7">
        <v>47511</v>
      </c>
      <c r="J131" s="7">
        <f t="shared" ref="J131:J194" si="6">G131*H131</f>
        <v>389230</v>
      </c>
      <c r="K131" s="7">
        <f t="shared" ref="K131:K194" si="7">G131*I131</f>
        <v>475110</v>
      </c>
      <c r="L131" s="8">
        <f t="shared" ref="L131:L194" si="8">(I131-H131)*G131</f>
        <v>85880</v>
      </c>
    </row>
    <row r="132" spans="1:12" x14ac:dyDescent="0.3">
      <c r="A132" s="8" t="s">
        <v>160</v>
      </c>
      <c r="B132" s="9">
        <v>45057</v>
      </c>
      <c r="C132" s="8" t="s">
        <v>12</v>
      </c>
      <c r="D132" s="8" t="s">
        <v>17</v>
      </c>
      <c r="E132" s="8" t="s">
        <v>18</v>
      </c>
      <c r="F132" s="8" t="s">
        <v>25</v>
      </c>
      <c r="G132" s="7">
        <v>5</v>
      </c>
      <c r="H132" s="7">
        <v>26245</v>
      </c>
      <c r="I132" s="7">
        <v>32922</v>
      </c>
      <c r="J132" s="7">
        <f t="shared" si="6"/>
        <v>131225</v>
      </c>
      <c r="K132" s="7">
        <f t="shared" si="7"/>
        <v>164610</v>
      </c>
      <c r="L132" s="8">
        <f t="shared" si="8"/>
        <v>33385</v>
      </c>
    </row>
    <row r="133" spans="1:12" x14ac:dyDescent="0.3">
      <c r="A133" s="8" t="s">
        <v>161</v>
      </c>
      <c r="B133" s="9">
        <v>45058</v>
      </c>
      <c r="C133" s="8" t="s">
        <v>16</v>
      </c>
      <c r="D133" s="8" t="s">
        <v>21</v>
      </c>
      <c r="E133" s="8" t="s">
        <v>14</v>
      </c>
      <c r="F133" s="8" t="s">
        <v>20</v>
      </c>
      <c r="G133" s="7">
        <v>10</v>
      </c>
      <c r="H133" s="7">
        <v>15199</v>
      </c>
      <c r="I133" s="7">
        <v>18732</v>
      </c>
      <c r="J133" s="7">
        <f t="shared" si="6"/>
        <v>151990</v>
      </c>
      <c r="K133" s="7">
        <f t="shared" si="7"/>
        <v>187320</v>
      </c>
      <c r="L133" s="8">
        <f t="shared" si="8"/>
        <v>35330</v>
      </c>
    </row>
    <row r="134" spans="1:12" x14ac:dyDescent="0.3">
      <c r="A134" s="8" t="s">
        <v>162</v>
      </c>
      <c r="B134" s="9">
        <v>45059</v>
      </c>
      <c r="C134" s="8" t="s">
        <v>16</v>
      </c>
      <c r="D134" s="8" t="s">
        <v>29</v>
      </c>
      <c r="E134" s="8" t="s">
        <v>18</v>
      </c>
      <c r="F134" s="8" t="s">
        <v>25</v>
      </c>
      <c r="G134" s="7">
        <v>8</v>
      </c>
      <c r="H134" s="7">
        <v>12818</v>
      </c>
      <c r="I134" s="7">
        <v>15686</v>
      </c>
      <c r="J134" s="7">
        <f t="shared" si="6"/>
        <v>102544</v>
      </c>
      <c r="K134" s="7">
        <f t="shared" si="7"/>
        <v>125488</v>
      </c>
      <c r="L134" s="8">
        <f t="shared" si="8"/>
        <v>22944</v>
      </c>
    </row>
    <row r="135" spans="1:12" x14ac:dyDescent="0.3">
      <c r="A135" s="8" t="s">
        <v>163</v>
      </c>
      <c r="B135" s="9">
        <v>45060</v>
      </c>
      <c r="C135" s="8" t="s">
        <v>16</v>
      </c>
      <c r="D135" s="8" t="s">
        <v>17</v>
      </c>
      <c r="E135" s="8" t="s">
        <v>14</v>
      </c>
      <c r="F135" s="8" t="s">
        <v>22</v>
      </c>
      <c r="G135" s="7">
        <v>2</v>
      </c>
      <c r="H135" s="7">
        <v>15044</v>
      </c>
      <c r="I135" s="7">
        <v>22854</v>
      </c>
      <c r="J135" s="7">
        <f t="shared" si="6"/>
        <v>30088</v>
      </c>
      <c r="K135" s="7">
        <f t="shared" si="7"/>
        <v>45708</v>
      </c>
      <c r="L135" s="8">
        <f t="shared" si="8"/>
        <v>15620</v>
      </c>
    </row>
    <row r="136" spans="1:12" x14ac:dyDescent="0.3">
      <c r="A136" s="8" t="s">
        <v>164</v>
      </c>
      <c r="B136" s="9">
        <v>45061</v>
      </c>
      <c r="C136" s="8" t="s">
        <v>26</v>
      </c>
      <c r="D136" s="8" t="s">
        <v>21</v>
      </c>
      <c r="E136" s="8" t="s">
        <v>14</v>
      </c>
      <c r="F136" s="8" t="s">
        <v>15</v>
      </c>
      <c r="G136" s="7">
        <v>3</v>
      </c>
      <c r="H136" s="7">
        <v>37438</v>
      </c>
      <c r="I136" s="7">
        <v>40026</v>
      </c>
      <c r="J136" s="7">
        <f t="shared" si="6"/>
        <v>112314</v>
      </c>
      <c r="K136" s="7">
        <f t="shared" si="7"/>
        <v>120078</v>
      </c>
      <c r="L136" s="8">
        <f t="shared" si="8"/>
        <v>7764</v>
      </c>
    </row>
    <row r="137" spans="1:12" x14ac:dyDescent="0.3">
      <c r="A137" s="8" t="s">
        <v>165</v>
      </c>
      <c r="B137" s="9">
        <v>45062</v>
      </c>
      <c r="C137" s="8" t="s">
        <v>12</v>
      </c>
      <c r="D137" s="8" t="s">
        <v>21</v>
      </c>
      <c r="E137" s="8" t="s">
        <v>18</v>
      </c>
      <c r="F137" s="8" t="s">
        <v>28</v>
      </c>
      <c r="G137" s="7">
        <v>5</v>
      </c>
      <c r="H137" s="7">
        <v>26503</v>
      </c>
      <c r="I137" s="7">
        <v>35002</v>
      </c>
      <c r="J137" s="7">
        <f t="shared" si="6"/>
        <v>132515</v>
      </c>
      <c r="K137" s="7">
        <f t="shared" si="7"/>
        <v>175010</v>
      </c>
      <c r="L137" s="8">
        <f t="shared" si="8"/>
        <v>42495</v>
      </c>
    </row>
    <row r="138" spans="1:12" x14ac:dyDescent="0.3">
      <c r="A138" s="8" t="s">
        <v>166</v>
      </c>
      <c r="B138" s="9">
        <v>45063</v>
      </c>
      <c r="C138" s="8" t="s">
        <v>26</v>
      </c>
      <c r="D138" s="8" t="s">
        <v>27</v>
      </c>
      <c r="E138" s="8" t="s">
        <v>14</v>
      </c>
      <c r="F138" s="8" t="s">
        <v>20</v>
      </c>
      <c r="G138" s="7">
        <v>5</v>
      </c>
      <c r="H138" s="7">
        <v>29345</v>
      </c>
      <c r="I138" s="7">
        <v>37658</v>
      </c>
      <c r="J138" s="7">
        <f t="shared" si="6"/>
        <v>146725</v>
      </c>
      <c r="K138" s="7">
        <f t="shared" si="7"/>
        <v>188290</v>
      </c>
      <c r="L138" s="8">
        <f t="shared" si="8"/>
        <v>41565</v>
      </c>
    </row>
    <row r="139" spans="1:12" x14ac:dyDescent="0.3">
      <c r="A139" s="8" t="s">
        <v>167</v>
      </c>
      <c r="B139" s="9">
        <v>45064</v>
      </c>
      <c r="C139" s="8" t="s">
        <v>16</v>
      </c>
      <c r="D139" s="8" t="s">
        <v>29</v>
      </c>
      <c r="E139" s="8" t="s">
        <v>18</v>
      </c>
      <c r="F139" s="8" t="s">
        <v>19</v>
      </c>
      <c r="G139" s="7">
        <v>8</v>
      </c>
      <c r="H139" s="7">
        <v>35019</v>
      </c>
      <c r="I139" s="7">
        <v>39344</v>
      </c>
      <c r="J139" s="7">
        <f t="shared" si="6"/>
        <v>280152</v>
      </c>
      <c r="K139" s="7">
        <f t="shared" si="7"/>
        <v>314752</v>
      </c>
      <c r="L139" s="8">
        <f t="shared" si="8"/>
        <v>34600</v>
      </c>
    </row>
    <row r="140" spans="1:12" x14ac:dyDescent="0.3">
      <c r="A140" s="8" t="s">
        <v>168</v>
      </c>
      <c r="B140" s="9">
        <v>45065</v>
      </c>
      <c r="C140" s="8" t="s">
        <v>16</v>
      </c>
      <c r="D140" s="8" t="s">
        <v>17</v>
      </c>
      <c r="E140" s="8" t="s">
        <v>14</v>
      </c>
      <c r="F140" s="8" t="s">
        <v>15</v>
      </c>
      <c r="G140" s="7">
        <v>8</v>
      </c>
      <c r="H140" s="7">
        <v>2405</v>
      </c>
      <c r="I140" s="7">
        <v>7433</v>
      </c>
      <c r="J140" s="7">
        <f t="shared" si="6"/>
        <v>19240</v>
      </c>
      <c r="K140" s="7">
        <f t="shared" si="7"/>
        <v>59464</v>
      </c>
      <c r="L140" s="8">
        <f t="shared" si="8"/>
        <v>40224</v>
      </c>
    </row>
    <row r="141" spans="1:12" x14ac:dyDescent="0.3">
      <c r="A141" s="8" t="s">
        <v>169</v>
      </c>
      <c r="B141" s="9">
        <v>45066</v>
      </c>
      <c r="C141" s="8" t="s">
        <v>26</v>
      </c>
      <c r="D141" s="8" t="s">
        <v>24</v>
      </c>
      <c r="E141" s="8" t="s">
        <v>18</v>
      </c>
      <c r="F141" s="8" t="s">
        <v>19</v>
      </c>
      <c r="G141" s="7">
        <v>3</v>
      </c>
      <c r="H141" s="7">
        <v>23931</v>
      </c>
      <c r="I141" s="7">
        <v>25959</v>
      </c>
      <c r="J141" s="7">
        <f t="shared" si="6"/>
        <v>71793</v>
      </c>
      <c r="K141" s="7">
        <f t="shared" si="7"/>
        <v>77877</v>
      </c>
      <c r="L141" s="8">
        <f t="shared" si="8"/>
        <v>6084</v>
      </c>
    </row>
    <row r="142" spans="1:12" x14ac:dyDescent="0.3">
      <c r="A142" s="8" t="s">
        <v>170</v>
      </c>
      <c r="B142" s="9">
        <v>45067</v>
      </c>
      <c r="C142" s="8" t="s">
        <v>23</v>
      </c>
      <c r="D142" s="8" t="s">
        <v>17</v>
      </c>
      <c r="E142" s="8" t="s">
        <v>14</v>
      </c>
      <c r="F142" s="8" t="s">
        <v>15</v>
      </c>
      <c r="G142" s="7">
        <v>9</v>
      </c>
      <c r="H142" s="7">
        <v>2427</v>
      </c>
      <c r="I142" s="7">
        <v>2858</v>
      </c>
      <c r="J142" s="7">
        <f t="shared" si="6"/>
        <v>21843</v>
      </c>
      <c r="K142" s="7">
        <f t="shared" si="7"/>
        <v>25722</v>
      </c>
      <c r="L142" s="8">
        <f t="shared" si="8"/>
        <v>3879</v>
      </c>
    </row>
    <row r="143" spans="1:12" x14ac:dyDescent="0.3">
      <c r="A143" s="8" t="s">
        <v>171</v>
      </c>
      <c r="B143" s="9">
        <v>45068</v>
      </c>
      <c r="C143" s="8" t="s">
        <v>16</v>
      </c>
      <c r="D143" s="8" t="s">
        <v>24</v>
      </c>
      <c r="E143" s="8" t="s">
        <v>14</v>
      </c>
      <c r="F143" s="8" t="s">
        <v>20</v>
      </c>
      <c r="G143" s="7">
        <v>7</v>
      </c>
      <c r="H143" s="7">
        <v>11433</v>
      </c>
      <c r="I143" s="7">
        <v>16098</v>
      </c>
      <c r="J143" s="7">
        <f t="shared" si="6"/>
        <v>80031</v>
      </c>
      <c r="K143" s="7">
        <f t="shared" si="7"/>
        <v>112686</v>
      </c>
      <c r="L143" s="8">
        <f t="shared" si="8"/>
        <v>32655</v>
      </c>
    </row>
    <row r="144" spans="1:12" x14ac:dyDescent="0.3">
      <c r="A144" s="8" t="s">
        <v>172</v>
      </c>
      <c r="B144" s="9">
        <v>45069</v>
      </c>
      <c r="C144" s="8" t="s">
        <v>23</v>
      </c>
      <c r="D144" s="8" t="s">
        <v>17</v>
      </c>
      <c r="E144" s="8" t="s">
        <v>14</v>
      </c>
      <c r="F144" s="8" t="s">
        <v>22</v>
      </c>
      <c r="G144" s="7">
        <v>3</v>
      </c>
      <c r="H144" s="7">
        <v>8943</v>
      </c>
      <c r="I144" s="7">
        <v>16412</v>
      </c>
      <c r="J144" s="7">
        <f t="shared" si="6"/>
        <v>26829</v>
      </c>
      <c r="K144" s="7">
        <f t="shared" si="7"/>
        <v>49236</v>
      </c>
      <c r="L144" s="8">
        <f t="shared" si="8"/>
        <v>22407</v>
      </c>
    </row>
    <row r="145" spans="1:12" x14ac:dyDescent="0.3">
      <c r="A145" s="8" t="s">
        <v>173</v>
      </c>
      <c r="B145" s="9">
        <v>45070</v>
      </c>
      <c r="C145" s="8" t="s">
        <v>12</v>
      </c>
      <c r="D145" s="8" t="s">
        <v>29</v>
      </c>
      <c r="E145" s="8" t="s">
        <v>18</v>
      </c>
      <c r="F145" s="8" t="s">
        <v>25</v>
      </c>
      <c r="G145" s="7">
        <v>6</v>
      </c>
      <c r="H145" s="7">
        <v>9032</v>
      </c>
      <c r="I145" s="7">
        <v>10792</v>
      </c>
      <c r="J145" s="7">
        <f t="shared" si="6"/>
        <v>54192</v>
      </c>
      <c r="K145" s="7">
        <f t="shared" si="7"/>
        <v>64752</v>
      </c>
      <c r="L145" s="8">
        <f t="shared" si="8"/>
        <v>10560</v>
      </c>
    </row>
    <row r="146" spans="1:12" x14ac:dyDescent="0.3">
      <c r="A146" s="8" t="s">
        <v>174</v>
      </c>
      <c r="B146" s="9">
        <v>45071</v>
      </c>
      <c r="C146" s="8" t="s">
        <v>26</v>
      </c>
      <c r="D146" s="8" t="s">
        <v>29</v>
      </c>
      <c r="E146" s="8" t="s">
        <v>18</v>
      </c>
      <c r="F146" s="8" t="s">
        <v>25</v>
      </c>
      <c r="G146" s="7">
        <v>7</v>
      </c>
      <c r="H146" s="7">
        <v>39346</v>
      </c>
      <c r="I146" s="7">
        <v>46565</v>
      </c>
      <c r="J146" s="7">
        <f t="shared" si="6"/>
        <v>275422</v>
      </c>
      <c r="K146" s="7">
        <f t="shared" si="7"/>
        <v>325955</v>
      </c>
      <c r="L146" s="8">
        <f t="shared" si="8"/>
        <v>50533</v>
      </c>
    </row>
    <row r="147" spans="1:12" x14ac:dyDescent="0.3">
      <c r="A147" s="8" t="s">
        <v>175</v>
      </c>
      <c r="B147" s="9">
        <v>45072</v>
      </c>
      <c r="C147" s="8" t="s">
        <v>23</v>
      </c>
      <c r="D147" s="8" t="s">
        <v>27</v>
      </c>
      <c r="E147" s="8" t="s">
        <v>14</v>
      </c>
      <c r="F147" s="8" t="s">
        <v>15</v>
      </c>
      <c r="G147" s="7">
        <v>4</v>
      </c>
      <c r="H147" s="7">
        <v>39425</v>
      </c>
      <c r="I147" s="7">
        <v>41215</v>
      </c>
      <c r="J147" s="7">
        <f t="shared" si="6"/>
        <v>157700</v>
      </c>
      <c r="K147" s="7">
        <f t="shared" si="7"/>
        <v>164860</v>
      </c>
      <c r="L147" s="8">
        <f t="shared" si="8"/>
        <v>7160</v>
      </c>
    </row>
    <row r="148" spans="1:12" x14ac:dyDescent="0.3">
      <c r="A148" s="8" t="s">
        <v>176</v>
      </c>
      <c r="B148" s="9">
        <v>45073</v>
      </c>
      <c r="C148" s="8" t="s">
        <v>26</v>
      </c>
      <c r="D148" s="8" t="s">
        <v>29</v>
      </c>
      <c r="E148" s="8" t="s">
        <v>14</v>
      </c>
      <c r="F148" s="8" t="s">
        <v>15</v>
      </c>
      <c r="G148" s="7">
        <v>6</v>
      </c>
      <c r="H148" s="7">
        <v>9908</v>
      </c>
      <c r="I148" s="7">
        <v>11450</v>
      </c>
      <c r="J148" s="7">
        <f t="shared" si="6"/>
        <v>59448</v>
      </c>
      <c r="K148" s="7">
        <f t="shared" si="7"/>
        <v>68700</v>
      </c>
      <c r="L148" s="8">
        <f t="shared" si="8"/>
        <v>9252</v>
      </c>
    </row>
    <row r="149" spans="1:12" x14ac:dyDescent="0.3">
      <c r="A149" s="8" t="s">
        <v>177</v>
      </c>
      <c r="B149" s="9">
        <v>45074</v>
      </c>
      <c r="C149" s="8" t="s">
        <v>23</v>
      </c>
      <c r="D149" s="8" t="s">
        <v>17</v>
      </c>
      <c r="E149" s="8" t="s">
        <v>18</v>
      </c>
      <c r="F149" s="8" t="s">
        <v>28</v>
      </c>
      <c r="G149" s="7">
        <v>5</v>
      </c>
      <c r="H149" s="7">
        <v>16475</v>
      </c>
      <c r="I149" s="7">
        <v>24802</v>
      </c>
      <c r="J149" s="7">
        <f t="shared" si="6"/>
        <v>82375</v>
      </c>
      <c r="K149" s="7">
        <f t="shared" si="7"/>
        <v>124010</v>
      </c>
      <c r="L149" s="8">
        <f t="shared" si="8"/>
        <v>41635</v>
      </c>
    </row>
    <row r="150" spans="1:12" x14ac:dyDescent="0.3">
      <c r="A150" s="8" t="s">
        <v>178</v>
      </c>
      <c r="B150" s="9">
        <v>45075</v>
      </c>
      <c r="C150" s="8" t="s">
        <v>26</v>
      </c>
      <c r="D150" s="8" t="s">
        <v>13</v>
      </c>
      <c r="E150" s="8" t="s">
        <v>14</v>
      </c>
      <c r="F150" s="8" t="s">
        <v>15</v>
      </c>
      <c r="G150" s="7">
        <v>9</v>
      </c>
      <c r="H150" s="7">
        <v>6368</v>
      </c>
      <c r="I150" s="7">
        <v>13954</v>
      </c>
      <c r="J150" s="7">
        <f t="shared" si="6"/>
        <v>57312</v>
      </c>
      <c r="K150" s="7">
        <f t="shared" si="7"/>
        <v>125586</v>
      </c>
      <c r="L150" s="8">
        <f t="shared" si="8"/>
        <v>68274</v>
      </c>
    </row>
    <row r="151" spans="1:12" x14ac:dyDescent="0.3">
      <c r="A151" s="8" t="s">
        <v>179</v>
      </c>
      <c r="B151" s="9">
        <v>45076</v>
      </c>
      <c r="C151" s="8" t="s">
        <v>16</v>
      </c>
      <c r="D151" s="8" t="s">
        <v>29</v>
      </c>
      <c r="E151" s="8" t="s">
        <v>14</v>
      </c>
      <c r="F151" s="8" t="s">
        <v>20</v>
      </c>
      <c r="G151" s="7">
        <v>5</v>
      </c>
      <c r="H151" s="7">
        <v>26203</v>
      </c>
      <c r="I151" s="7">
        <v>32651</v>
      </c>
      <c r="J151" s="7">
        <f t="shared" si="6"/>
        <v>131015</v>
      </c>
      <c r="K151" s="7">
        <f t="shared" si="7"/>
        <v>163255</v>
      </c>
      <c r="L151" s="8">
        <f t="shared" si="8"/>
        <v>32240</v>
      </c>
    </row>
    <row r="152" spans="1:12" x14ac:dyDescent="0.3">
      <c r="A152" s="8" t="s">
        <v>180</v>
      </c>
      <c r="B152" s="9">
        <v>45077</v>
      </c>
      <c r="C152" s="8" t="s">
        <v>26</v>
      </c>
      <c r="D152" s="8" t="s">
        <v>13</v>
      </c>
      <c r="E152" s="8" t="s">
        <v>14</v>
      </c>
      <c r="F152" s="8" t="s">
        <v>22</v>
      </c>
      <c r="G152" s="7">
        <v>10</v>
      </c>
      <c r="H152" s="7">
        <v>15749</v>
      </c>
      <c r="I152" s="7">
        <v>24248</v>
      </c>
      <c r="J152" s="7">
        <f t="shared" si="6"/>
        <v>157490</v>
      </c>
      <c r="K152" s="7">
        <f t="shared" si="7"/>
        <v>242480</v>
      </c>
      <c r="L152" s="8">
        <f t="shared" si="8"/>
        <v>84990</v>
      </c>
    </row>
    <row r="153" spans="1:12" x14ac:dyDescent="0.3">
      <c r="A153" s="8" t="s">
        <v>181</v>
      </c>
      <c r="B153" s="9">
        <v>45078</v>
      </c>
      <c r="C153" s="8" t="s">
        <v>16</v>
      </c>
      <c r="D153" s="8" t="s">
        <v>17</v>
      </c>
      <c r="E153" s="8" t="s">
        <v>14</v>
      </c>
      <c r="F153" s="8" t="s">
        <v>20</v>
      </c>
      <c r="G153" s="7">
        <v>6</v>
      </c>
      <c r="H153" s="7">
        <v>28614</v>
      </c>
      <c r="I153" s="7">
        <v>34277</v>
      </c>
      <c r="J153" s="7">
        <f t="shared" si="6"/>
        <v>171684</v>
      </c>
      <c r="K153" s="7">
        <f t="shared" si="7"/>
        <v>205662</v>
      </c>
      <c r="L153" s="8">
        <f t="shared" si="8"/>
        <v>33978</v>
      </c>
    </row>
    <row r="154" spans="1:12" x14ac:dyDescent="0.3">
      <c r="A154" s="8" t="s">
        <v>182</v>
      </c>
      <c r="B154" s="9">
        <v>45079</v>
      </c>
      <c r="C154" s="8" t="s">
        <v>23</v>
      </c>
      <c r="D154" s="8" t="s">
        <v>27</v>
      </c>
      <c r="E154" s="8" t="s">
        <v>14</v>
      </c>
      <c r="F154" s="8" t="s">
        <v>15</v>
      </c>
      <c r="G154" s="7">
        <v>1</v>
      </c>
      <c r="H154" s="7">
        <v>26860</v>
      </c>
      <c r="I154" s="7">
        <v>34641</v>
      </c>
      <c r="J154" s="7">
        <f t="shared" si="6"/>
        <v>26860</v>
      </c>
      <c r="K154" s="7">
        <f t="shared" si="7"/>
        <v>34641</v>
      </c>
      <c r="L154" s="8">
        <f t="shared" si="8"/>
        <v>7781</v>
      </c>
    </row>
    <row r="155" spans="1:12" x14ac:dyDescent="0.3">
      <c r="A155" s="8" t="s">
        <v>183</v>
      </c>
      <c r="B155" s="9">
        <v>45080</v>
      </c>
      <c r="C155" s="8" t="s">
        <v>16</v>
      </c>
      <c r="D155" s="8" t="s">
        <v>24</v>
      </c>
      <c r="E155" s="8" t="s">
        <v>18</v>
      </c>
      <c r="F155" s="8" t="s">
        <v>25</v>
      </c>
      <c r="G155" s="7">
        <v>8</v>
      </c>
      <c r="H155" s="7">
        <v>32624</v>
      </c>
      <c r="I155" s="7">
        <v>40754</v>
      </c>
      <c r="J155" s="7">
        <f t="shared" si="6"/>
        <v>260992</v>
      </c>
      <c r="K155" s="7">
        <f t="shared" si="7"/>
        <v>326032</v>
      </c>
      <c r="L155" s="8">
        <f t="shared" si="8"/>
        <v>65040</v>
      </c>
    </row>
    <row r="156" spans="1:12" x14ac:dyDescent="0.3">
      <c r="A156" s="8" t="s">
        <v>184</v>
      </c>
      <c r="B156" s="9">
        <v>45081</v>
      </c>
      <c r="C156" s="8" t="s">
        <v>26</v>
      </c>
      <c r="D156" s="8" t="s">
        <v>27</v>
      </c>
      <c r="E156" s="8" t="s">
        <v>14</v>
      </c>
      <c r="F156" s="8" t="s">
        <v>22</v>
      </c>
      <c r="G156" s="7">
        <v>6</v>
      </c>
      <c r="H156" s="7">
        <v>10307</v>
      </c>
      <c r="I156" s="7">
        <v>14915</v>
      </c>
      <c r="J156" s="7">
        <f t="shared" si="6"/>
        <v>61842</v>
      </c>
      <c r="K156" s="7">
        <f t="shared" si="7"/>
        <v>89490</v>
      </c>
      <c r="L156" s="8">
        <f t="shared" si="8"/>
        <v>27648</v>
      </c>
    </row>
    <row r="157" spans="1:12" x14ac:dyDescent="0.3">
      <c r="A157" s="8" t="s">
        <v>185</v>
      </c>
      <c r="B157" s="9">
        <v>45082</v>
      </c>
      <c r="C157" s="8" t="s">
        <v>23</v>
      </c>
      <c r="D157" s="8" t="s">
        <v>27</v>
      </c>
      <c r="E157" s="8" t="s">
        <v>18</v>
      </c>
      <c r="F157" s="8" t="s">
        <v>28</v>
      </c>
      <c r="G157" s="7">
        <v>1</v>
      </c>
      <c r="H157" s="7">
        <v>9932</v>
      </c>
      <c r="I157" s="7">
        <v>16330</v>
      </c>
      <c r="J157" s="7">
        <f t="shared" si="6"/>
        <v>9932</v>
      </c>
      <c r="K157" s="7">
        <f t="shared" si="7"/>
        <v>16330</v>
      </c>
      <c r="L157" s="8">
        <f t="shared" si="8"/>
        <v>6398</v>
      </c>
    </row>
    <row r="158" spans="1:12" x14ac:dyDescent="0.3">
      <c r="A158" s="8" t="s">
        <v>186</v>
      </c>
      <c r="B158" s="9">
        <v>45083</v>
      </c>
      <c r="C158" s="8" t="s">
        <v>12</v>
      </c>
      <c r="D158" s="8" t="s">
        <v>17</v>
      </c>
      <c r="E158" s="8" t="s">
        <v>18</v>
      </c>
      <c r="F158" s="8" t="s">
        <v>28</v>
      </c>
      <c r="G158" s="7">
        <v>9</v>
      </c>
      <c r="H158" s="7">
        <v>5092</v>
      </c>
      <c r="I158" s="7">
        <v>14487</v>
      </c>
      <c r="J158" s="7">
        <f t="shared" si="6"/>
        <v>45828</v>
      </c>
      <c r="K158" s="7">
        <f t="shared" si="7"/>
        <v>130383</v>
      </c>
      <c r="L158" s="8">
        <f t="shared" si="8"/>
        <v>84555</v>
      </c>
    </row>
    <row r="159" spans="1:12" x14ac:dyDescent="0.3">
      <c r="A159" s="8" t="s">
        <v>187</v>
      </c>
      <c r="B159" s="9">
        <v>45084</v>
      </c>
      <c r="C159" s="8" t="s">
        <v>16</v>
      </c>
      <c r="D159" s="8" t="s">
        <v>27</v>
      </c>
      <c r="E159" s="8" t="s">
        <v>18</v>
      </c>
      <c r="F159" s="8" t="s">
        <v>19</v>
      </c>
      <c r="G159" s="7">
        <v>6</v>
      </c>
      <c r="H159" s="7">
        <v>39336</v>
      </c>
      <c r="I159" s="7">
        <v>41136</v>
      </c>
      <c r="J159" s="7">
        <f t="shared" si="6"/>
        <v>236016</v>
      </c>
      <c r="K159" s="7">
        <f t="shared" si="7"/>
        <v>246816</v>
      </c>
      <c r="L159" s="8">
        <f t="shared" si="8"/>
        <v>10800</v>
      </c>
    </row>
    <row r="160" spans="1:12" x14ac:dyDescent="0.3">
      <c r="A160" s="8" t="s">
        <v>188</v>
      </c>
      <c r="B160" s="9">
        <v>45085</v>
      </c>
      <c r="C160" s="8" t="s">
        <v>23</v>
      </c>
      <c r="D160" s="8" t="s">
        <v>13</v>
      </c>
      <c r="E160" s="8" t="s">
        <v>14</v>
      </c>
      <c r="F160" s="8" t="s">
        <v>15</v>
      </c>
      <c r="G160" s="7">
        <v>2</v>
      </c>
      <c r="H160" s="7">
        <v>21418</v>
      </c>
      <c r="I160" s="7">
        <v>29524</v>
      </c>
      <c r="J160" s="7">
        <f t="shared" si="6"/>
        <v>42836</v>
      </c>
      <c r="K160" s="7">
        <f t="shared" si="7"/>
        <v>59048</v>
      </c>
      <c r="L160" s="8">
        <f t="shared" si="8"/>
        <v>16212</v>
      </c>
    </row>
    <row r="161" spans="1:12" x14ac:dyDescent="0.3">
      <c r="A161" s="8" t="s">
        <v>189</v>
      </c>
      <c r="B161" s="9">
        <v>45086</v>
      </c>
      <c r="C161" s="8" t="s">
        <v>12</v>
      </c>
      <c r="D161" s="8" t="s">
        <v>29</v>
      </c>
      <c r="E161" s="8" t="s">
        <v>18</v>
      </c>
      <c r="F161" s="8" t="s">
        <v>28</v>
      </c>
      <c r="G161" s="7">
        <v>3</v>
      </c>
      <c r="H161" s="7">
        <v>15055</v>
      </c>
      <c r="I161" s="7">
        <v>21282</v>
      </c>
      <c r="J161" s="7">
        <f t="shared" si="6"/>
        <v>45165</v>
      </c>
      <c r="K161" s="7">
        <f t="shared" si="7"/>
        <v>63846</v>
      </c>
      <c r="L161" s="8">
        <f t="shared" si="8"/>
        <v>18681</v>
      </c>
    </row>
    <row r="162" spans="1:12" x14ac:dyDescent="0.3">
      <c r="A162" s="8" t="s">
        <v>190</v>
      </c>
      <c r="B162" s="9">
        <v>45087</v>
      </c>
      <c r="C162" s="8" t="s">
        <v>16</v>
      </c>
      <c r="D162" s="8" t="s">
        <v>29</v>
      </c>
      <c r="E162" s="8" t="s">
        <v>18</v>
      </c>
      <c r="F162" s="8" t="s">
        <v>25</v>
      </c>
      <c r="G162" s="7">
        <v>4</v>
      </c>
      <c r="H162" s="7">
        <v>31222</v>
      </c>
      <c r="I162" s="7">
        <v>35326</v>
      </c>
      <c r="J162" s="7">
        <f t="shared" si="6"/>
        <v>124888</v>
      </c>
      <c r="K162" s="7">
        <f t="shared" si="7"/>
        <v>141304</v>
      </c>
      <c r="L162" s="8">
        <f t="shared" si="8"/>
        <v>16416</v>
      </c>
    </row>
    <row r="163" spans="1:12" x14ac:dyDescent="0.3">
      <c r="A163" s="8" t="s">
        <v>191</v>
      </c>
      <c r="B163" s="9">
        <v>45088</v>
      </c>
      <c r="C163" s="8" t="s">
        <v>26</v>
      </c>
      <c r="D163" s="8" t="s">
        <v>21</v>
      </c>
      <c r="E163" s="8" t="s">
        <v>14</v>
      </c>
      <c r="F163" s="8" t="s">
        <v>15</v>
      </c>
      <c r="G163" s="7">
        <v>9</v>
      </c>
      <c r="H163" s="7">
        <v>36428</v>
      </c>
      <c r="I163" s="7">
        <v>44213</v>
      </c>
      <c r="J163" s="7">
        <f t="shared" si="6"/>
        <v>327852</v>
      </c>
      <c r="K163" s="7">
        <f t="shared" si="7"/>
        <v>397917</v>
      </c>
      <c r="L163" s="8">
        <f t="shared" si="8"/>
        <v>70065</v>
      </c>
    </row>
    <row r="164" spans="1:12" x14ac:dyDescent="0.3">
      <c r="A164" s="8" t="s">
        <v>192</v>
      </c>
      <c r="B164" s="9">
        <v>45089</v>
      </c>
      <c r="C164" s="8" t="s">
        <v>23</v>
      </c>
      <c r="D164" s="8" t="s">
        <v>21</v>
      </c>
      <c r="E164" s="8" t="s">
        <v>18</v>
      </c>
      <c r="F164" s="8" t="s">
        <v>28</v>
      </c>
      <c r="G164" s="7">
        <v>7</v>
      </c>
      <c r="H164" s="7">
        <v>28791</v>
      </c>
      <c r="I164" s="7">
        <v>36340</v>
      </c>
      <c r="J164" s="7">
        <f t="shared" si="6"/>
        <v>201537</v>
      </c>
      <c r="K164" s="7">
        <f t="shared" si="7"/>
        <v>254380</v>
      </c>
      <c r="L164" s="8">
        <f t="shared" si="8"/>
        <v>52843</v>
      </c>
    </row>
    <row r="165" spans="1:12" x14ac:dyDescent="0.3">
      <c r="A165" s="8" t="s">
        <v>193</v>
      </c>
      <c r="B165" s="9">
        <v>45090</v>
      </c>
      <c r="C165" s="8" t="s">
        <v>23</v>
      </c>
      <c r="D165" s="8" t="s">
        <v>17</v>
      </c>
      <c r="E165" s="8" t="s">
        <v>18</v>
      </c>
      <c r="F165" s="8" t="s">
        <v>19</v>
      </c>
      <c r="G165" s="7">
        <v>1</v>
      </c>
      <c r="H165" s="7">
        <v>23560</v>
      </c>
      <c r="I165" s="7">
        <v>24203</v>
      </c>
      <c r="J165" s="7">
        <f t="shared" si="6"/>
        <v>23560</v>
      </c>
      <c r="K165" s="7">
        <f t="shared" si="7"/>
        <v>24203</v>
      </c>
      <c r="L165" s="8">
        <f t="shared" si="8"/>
        <v>643</v>
      </c>
    </row>
    <row r="166" spans="1:12" x14ac:dyDescent="0.3">
      <c r="A166" s="8" t="s">
        <v>194</v>
      </c>
      <c r="B166" s="9">
        <v>45091</v>
      </c>
      <c r="C166" s="8" t="s">
        <v>16</v>
      </c>
      <c r="D166" s="8" t="s">
        <v>24</v>
      </c>
      <c r="E166" s="8" t="s">
        <v>18</v>
      </c>
      <c r="F166" s="8" t="s">
        <v>25</v>
      </c>
      <c r="G166" s="7">
        <v>1</v>
      </c>
      <c r="H166" s="7">
        <v>25737</v>
      </c>
      <c r="I166" s="7">
        <v>31346</v>
      </c>
      <c r="J166" s="7">
        <f t="shared" si="6"/>
        <v>25737</v>
      </c>
      <c r="K166" s="7">
        <f t="shared" si="7"/>
        <v>31346</v>
      </c>
      <c r="L166" s="8">
        <f t="shared" si="8"/>
        <v>5609</v>
      </c>
    </row>
    <row r="167" spans="1:12" x14ac:dyDescent="0.3">
      <c r="A167" s="8" t="s">
        <v>195</v>
      </c>
      <c r="B167" s="9">
        <v>45092</v>
      </c>
      <c r="C167" s="8" t="s">
        <v>23</v>
      </c>
      <c r="D167" s="8" t="s">
        <v>29</v>
      </c>
      <c r="E167" s="8" t="s">
        <v>14</v>
      </c>
      <c r="F167" s="8" t="s">
        <v>22</v>
      </c>
      <c r="G167" s="7">
        <v>1</v>
      </c>
      <c r="H167" s="7">
        <v>13415</v>
      </c>
      <c r="I167" s="7">
        <v>19241</v>
      </c>
      <c r="J167" s="7">
        <f t="shared" si="6"/>
        <v>13415</v>
      </c>
      <c r="K167" s="7">
        <f t="shared" si="7"/>
        <v>19241</v>
      </c>
      <c r="L167" s="8">
        <f t="shared" si="8"/>
        <v>5826</v>
      </c>
    </row>
    <row r="168" spans="1:12" x14ac:dyDescent="0.3">
      <c r="A168" s="8" t="s">
        <v>196</v>
      </c>
      <c r="B168" s="9">
        <v>45093</v>
      </c>
      <c r="C168" s="8" t="s">
        <v>12</v>
      </c>
      <c r="D168" s="8" t="s">
        <v>29</v>
      </c>
      <c r="E168" s="8" t="s">
        <v>18</v>
      </c>
      <c r="F168" s="8" t="s">
        <v>28</v>
      </c>
      <c r="G168" s="7">
        <v>2</v>
      </c>
      <c r="H168" s="7">
        <v>17704</v>
      </c>
      <c r="I168" s="7">
        <v>25263</v>
      </c>
      <c r="J168" s="7">
        <f t="shared" si="6"/>
        <v>35408</v>
      </c>
      <c r="K168" s="7">
        <f t="shared" si="7"/>
        <v>50526</v>
      </c>
      <c r="L168" s="8">
        <f t="shared" si="8"/>
        <v>15118</v>
      </c>
    </row>
    <row r="169" spans="1:12" x14ac:dyDescent="0.3">
      <c r="A169" s="8" t="s">
        <v>197</v>
      </c>
      <c r="B169" s="9">
        <v>45094</v>
      </c>
      <c r="C169" s="8" t="s">
        <v>16</v>
      </c>
      <c r="D169" s="8" t="s">
        <v>17</v>
      </c>
      <c r="E169" s="8" t="s">
        <v>14</v>
      </c>
      <c r="F169" s="8" t="s">
        <v>15</v>
      </c>
      <c r="G169" s="7">
        <v>1</v>
      </c>
      <c r="H169" s="7">
        <v>17561</v>
      </c>
      <c r="I169" s="7">
        <v>24203</v>
      </c>
      <c r="J169" s="7">
        <f t="shared" si="6"/>
        <v>17561</v>
      </c>
      <c r="K169" s="7">
        <f t="shared" si="7"/>
        <v>24203</v>
      </c>
      <c r="L169" s="8">
        <f t="shared" si="8"/>
        <v>6642</v>
      </c>
    </row>
    <row r="170" spans="1:12" x14ac:dyDescent="0.3">
      <c r="A170" s="8" t="s">
        <v>198</v>
      </c>
      <c r="B170" s="9">
        <v>45095</v>
      </c>
      <c r="C170" s="8" t="s">
        <v>26</v>
      </c>
      <c r="D170" s="8" t="s">
        <v>17</v>
      </c>
      <c r="E170" s="8" t="s">
        <v>14</v>
      </c>
      <c r="F170" s="8" t="s">
        <v>20</v>
      </c>
      <c r="G170" s="7">
        <v>10</v>
      </c>
      <c r="H170" s="7">
        <v>26390</v>
      </c>
      <c r="I170" s="7">
        <v>35766</v>
      </c>
      <c r="J170" s="7">
        <f t="shared" si="6"/>
        <v>263900</v>
      </c>
      <c r="K170" s="7">
        <f t="shared" si="7"/>
        <v>357660</v>
      </c>
      <c r="L170" s="8">
        <f t="shared" si="8"/>
        <v>93760</v>
      </c>
    </row>
    <row r="171" spans="1:12" x14ac:dyDescent="0.3">
      <c r="A171" s="8" t="s">
        <v>199</v>
      </c>
      <c r="B171" s="9">
        <v>45096</v>
      </c>
      <c r="C171" s="8" t="s">
        <v>12</v>
      </c>
      <c r="D171" s="8" t="s">
        <v>13</v>
      </c>
      <c r="E171" s="8" t="s">
        <v>14</v>
      </c>
      <c r="F171" s="8" t="s">
        <v>22</v>
      </c>
      <c r="G171" s="7">
        <v>1</v>
      </c>
      <c r="H171" s="7">
        <v>14303</v>
      </c>
      <c r="I171" s="7">
        <v>21925</v>
      </c>
      <c r="J171" s="7">
        <f t="shared" si="6"/>
        <v>14303</v>
      </c>
      <c r="K171" s="7">
        <f t="shared" si="7"/>
        <v>21925</v>
      </c>
      <c r="L171" s="8">
        <f t="shared" si="8"/>
        <v>7622</v>
      </c>
    </row>
    <row r="172" spans="1:12" x14ac:dyDescent="0.3">
      <c r="A172" s="8" t="s">
        <v>200</v>
      </c>
      <c r="B172" s="9">
        <v>45097</v>
      </c>
      <c r="C172" s="8" t="s">
        <v>12</v>
      </c>
      <c r="D172" s="8" t="s">
        <v>17</v>
      </c>
      <c r="E172" s="8" t="s">
        <v>14</v>
      </c>
      <c r="F172" s="8" t="s">
        <v>20</v>
      </c>
      <c r="G172" s="7">
        <v>1</v>
      </c>
      <c r="H172" s="7">
        <v>20070</v>
      </c>
      <c r="I172" s="7">
        <v>21257</v>
      </c>
      <c r="J172" s="7">
        <f t="shared" si="6"/>
        <v>20070</v>
      </c>
      <c r="K172" s="7">
        <f t="shared" si="7"/>
        <v>21257</v>
      </c>
      <c r="L172" s="8">
        <f t="shared" si="8"/>
        <v>1187</v>
      </c>
    </row>
    <row r="173" spans="1:12" x14ac:dyDescent="0.3">
      <c r="A173" s="8" t="s">
        <v>201</v>
      </c>
      <c r="B173" s="9">
        <v>45098</v>
      </c>
      <c r="C173" s="8" t="s">
        <v>26</v>
      </c>
      <c r="D173" s="8" t="s">
        <v>27</v>
      </c>
      <c r="E173" s="8" t="s">
        <v>18</v>
      </c>
      <c r="F173" s="8" t="s">
        <v>19</v>
      </c>
      <c r="G173" s="7">
        <v>3</v>
      </c>
      <c r="H173" s="7">
        <v>14529</v>
      </c>
      <c r="I173" s="7">
        <v>16875</v>
      </c>
      <c r="J173" s="7">
        <f t="shared" si="6"/>
        <v>43587</v>
      </c>
      <c r="K173" s="7">
        <f t="shared" si="7"/>
        <v>50625</v>
      </c>
      <c r="L173" s="8">
        <f t="shared" si="8"/>
        <v>7038</v>
      </c>
    </row>
    <row r="174" spans="1:12" x14ac:dyDescent="0.3">
      <c r="A174" s="8" t="s">
        <v>202</v>
      </c>
      <c r="B174" s="9">
        <v>45099</v>
      </c>
      <c r="C174" s="8" t="s">
        <v>12</v>
      </c>
      <c r="D174" s="8" t="s">
        <v>29</v>
      </c>
      <c r="E174" s="8" t="s">
        <v>14</v>
      </c>
      <c r="F174" s="8" t="s">
        <v>20</v>
      </c>
      <c r="G174" s="7">
        <v>5</v>
      </c>
      <c r="H174" s="7">
        <v>36282</v>
      </c>
      <c r="I174" s="7">
        <v>41513</v>
      </c>
      <c r="J174" s="7">
        <f t="shared" si="6"/>
        <v>181410</v>
      </c>
      <c r="K174" s="7">
        <f t="shared" si="7"/>
        <v>207565</v>
      </c>
      <c r="L174" s="8">
        <f t="shared" si="8"/>
        <v>26155</v>
      </c>
    </row>
    <row r="175" spans="1:12" x14ac:dyDescent="0.3">
      <c r="A175" s="8" t="s">
        <v>203</v>
      </c>
      <c r="B175" s="9">
        <v>45100</v>
      </c>
      <c r="C175" s="8" t="s">
        <v>23</v>
      </c>
      <c r="D175" s="8" t="s">
        <v>24</v>
      </c>
      <c r="E175" s="8" t="s">
        <v>14</v>
      </c>
      <c r="F175" s="8" t="s">
        <v>15</v>
      </c>
      <c r="G175" s="7">
        <v>8</v>
      </c>
      <c r="H175" s="7">
        <v>11839</v>
      </c>
      <c r="I175" s="7">
        <v>13378</v>
      </c>
      <c r="J175" s="7">
        <f t="shared" si="6"/>
        <v>94712</v>
      </c>
      <c r="K175" s="7">
        <f t="shared" si="7"/>
        <v>107024</v>
      </c>
      <c r="L175" s="8">
        <f t="shared" si="8"/>
        <v>12312</v>
      </c>
    </row>
    <row r="176" spans="1:12" x14ac:dyDescent="0.3">
      <c r="A176" s="8" t="s">
        <v>204</v>
      </c>
      <c r="B176" s="9">
        <v>45101</v>
      </c>
      <c r="C176" s="8" t="s">
        <v>12</v>
      </c>
      <c r="D176" s="8" t="s">
        <v>17</v>
      </c>
      <c r="E176" s="8" t="s">
        <v>14</v>
      </c>
      <c r="F176" s="8" t="s">
        <v>20</v>
      </c>
      <c r="G176" s="7">
        <v>4</v>
      </c>
      <c r="H176" s="7">
        <v>19257</v>
      </c>
      <c r="I176" s="7">
        <v>20270</v>
      </c>
      <c r="J176" s="7">
        <f t="shared" si="6"/>
        <v>77028</v>
      </c>
      <c r="K176" s="7">
        <f t="shared" si="7"/>
        <v>81080</v>
      </c>
      <c r="L176" s="8">
        <f t="shared" si="8"/>
        <v>4052</v>
      </c>
    </row>
    <row r="177" spans="1:12" x14ac:dyDescent="0.3">
      <c r="A177" s="8" t="s">
        <v>205</v>
      </c>
      <c r="B177" s="9">
        <v>45102</v>
      </c>
      <c r="C177" s="8" t="s">
        <v>23</v>
      </c>
      <c r="D177" s="8" t="s">
        <v>17</v>
      </c>
      <c r="E177" s="8" t="s">
        <v>18</v>
      </c>
      <c r="F177" s="8" t="s">
        <v>28</v>
      </c>
      <c r="G177" s="7">
        <v>1</v>
      </c>
      <c r="H177" s="7">
        <v>11655</v>
      </c>
      <c r="I177" s="7">
        <v>17277</v>
      </c>
      <c r="J177" s="7">
        <f t="shared" si="6"/>
        <v>11655</v>
      </c>
      <c r="K177" s="7">
        <f t="shared" si="7"/>
        <v>17277</v>
      </c>
      <c r="L177" s="8">
        <f t="shared" si="8"/>
        <v>5622</v>
      </c>
    </row>
    <row r="178" spans="1:12" x14ac:dyDescent="0.3">
      <c r="A178" s="8" t="s">
        <v>206</v>
      </c>
      <c r="B178" s="9">
        <v>45103</v>
      </c>
      <c r="C178" s="8" t="s">
        <v>26</v>
      </c>
      <c r="D178" s="8" t="s">
        <v>24</v>
      </c>
      <c r="E178" s="8" t="s">
        <v>14</v>
      </c>
      <c r="F178" s="8" t="s">
        <v>20</v>
      </c>
      <c r="G178" s="7">
        <v>6</v>
      </c>
      <c r="H178" s="7">
        <v>37692</v>
      </c>
      <c r="I178" s="7">
        <v>44462</v>
      </c>
      <c r="J178" s="7">
        <f t="shared" si="6"/>
        <v>226152</v>
      </c>
      <c r="K178" s="7">
        <f t="shared" si="7"/>
        <v>266772</v>
      </c>
      <c r="L178" s="8">
        <f t="shared" si="8"/>
        <v>40620</v>
      </c>
    </row>
    <row r="179" spans="1:12" x14ac:dyDescent="0.3">
      <c r="A179" s="8" t="s">
        <v>207</v>
      </c>
      <c r="B179" s="9">
        <v>45104</v>
      </c>
      <c r="C179" s="8" t="s">
        <v>26</v>
      </c>
      <c r="D179" s="8" t="s">
        <v>27</v>
      </c>
      <c r="E179" s="8" t="s">
        <v>18</v>
      </c>
      <c r="F179" s="8" t="s">
        <v>25</v>
      </c>
      <c r="G179" s="7">
        <v>3</v>
      </c>
      <c r="H179" s="7">
        <v>29548</v>
      </c>
      <c r="I179" s="7">
        <v>31567</v>
      </c>
      <c r="J179" s="7">
        <f t="shared" si="6"/>
        <v>88644</v>
      </c>
      <c r="K179" s="7">
        <f t="shared" si="7"/>
        <v>94701</v>
      </c>
      <c r="L179" s="8">
        <f t="shared" si="8"/>
        <v>6057</v>
      </c>
    </row>
    <row r="180" spans="1:12" x14ac:dyDescent="0.3">
      <c r="A180" s="8" t="s">
        <v>208</v>
      </c>
      <c r="B180" s="9">
        <v>45105</v>
      </c>
      <c r="C180" s="8" t="s">
        <v>12</v>
      </c>
      <c r="D180" s="8" t="s">
        <v>27</v>
      </c>
      <c r="E180" s="8" t="s">
        <v>14</v>
      </c>
      <c r="F180" s="8" t="s">
        <v>15</v>
      </c>
      <c r="G180" s="7">
        <v>3</v>
      </c>
      <c r="H180" s="7">
        <v>25810</v>
      </c>
      <c r="I180" s="7">
        <v>35054</v>
      </c>
      <c r="J180" s="7">
        <f t="shared" si="6"/>
        <v>77430</v>
      </c>
      <c r="K180" s="7">
        <f t="shared" si="7"/>
        <v>105162</v>
      </c>
      <c r="L180" s="8">
        <f t="shared" si="8"/>
        <v>27732</v>
      </c>
    </row>
    <row r="181" spans="1:12" x14ac:dyDescent="0.3">
      <c r="A181" s="8" t="s">
        <v>209</v>
      </c>
      <c r="B181" s="9">
        <v>45106</v>
      </c>
      <c r="C181" s="8" t="s">
        <v>12</v>
      </c>
      <c r="D181" s="8" t="s">
        <v>27</v>
      </c>
      <c r="E181" s="8" t="s">
        <v>14</v>
      </c>
      <c r="F181" s="8" t="s">
        <v>22</v>
      </c>
      <c r="G181" s="7">
        <v>4</v>
      </c>
      <c r="H181" s="7">
        <v>14123</v>
      </c>
      <c r="I181" s="7">
        <v>19999</v>
      </c>
      <c r="J181" s="7">
        <f t="shared" si="6"/>
        <v>56492</v>
      </c>
      <c r="K181" s="7">
        <f t="shared" si="7"/>
        <v>79996</v>
      </c>
      <c r="L181" s="8">
        <f t="shared" si="8"/>
        <v>23504</v>
      </c>
    </row>
    <row r="182" spans="1:12" x14ac:dyDescent="0.3">
      <c r="A182" s="8" t="s">
        <v>210</v>
      </c>
      <c r="B182" s="9">
        <v>45107</v>
      </c>
      <c r="C182" s="8" t="s">
        <v>16</v>
      </c>
      <c r="D182" s="8" t="s">
        <v>29</v>
      </c>
      <c r="E182" s="8" t="s">
        <v>18</v>
      </c>
      <c r="F182" s="8" t="s">
        <v>25</v>
      </c>
      <c r="G182" s="7">
        <v>2</v>
      </c>
      <c r="H182" s="7">
        <v>22037</v>
      </c>
      <c r="I182" s="7">
        <v>26778</v>
      </c>
      <c r="J182" s="7">
        <f t="shared" si="6"/>
        <v>44074</v>
      </c>
      <c r="K182" s="7">
        <f t="shared" si="7"/>
        <v>53556</v>
      </c>
      <c r="L182" s="8">
        <f t="shared" si="8"/>
        <v>9482</v>
      </c>
    </row>
    <row r="183" spans="1:12" x14ac:dyDescent="0.3">
      <c r="A183" s="8" t="s">
        <v>211</v>
      </c>
      <c r="B183" s="9">
        <v>45108</v>
      </c>
      <c r="C183" s="8" t="s">
        <v>26</v>
      </c>
      <c r="D183" s="8" t="s">
        <v>27</v>
      </c>
      <c r="E183" s="8" t="s">
        <v>14</v>
      </c>
      <c r="F183" s="8" t="s">
        <v>22</v>
      </c>
      <c r="G183" s="7">
        <v>4</v>
      </c>
      <c r="H183" s="7">
        <v>913</v>
      </c>
      <c r="I183" s="7">
        <v>5545</v>
      </c>
      <c r="J183" s="7">
        <f t="shared" si="6"/>
        <v>3652</v>
      </c>
      <c r="K183" s="7">
        <f t="shared" si="7"/>
        <v>22180</v>
      </c>
      <c r="L183" s="8">
        <f t="shared" si="8"/>
        <v>18528</v>
      </c>
    </row>
    <row r="184" spans="1:12" x14ac:dyDescent="0.3">
      <c r="A184" s="8" t="s">
        <v>212</v>
      </c>
      <c r="B184" s="9">
        <v>45109</v>
      </c>
      <c r="C184" s="8" t="s">
        <v>12</v>
      </c>
      <c r="D184" s="8" t="s">
        <v>21</v>
      </c>
      <c r="E184" s="8" t="s">
        <v>14</v>
      </c>
      <c r="F184" s="8" t="s">
        <v>15</v>
      </c>
      <c r="G184" s="7">
        <v>4</v>
      </c>
      <c r="H184" s="7">
        <v>38180</v>
      </c>
      <c r="I184" s="7">
        <v>43378</v>
      </c>
      <c r="J184" s="7">
        <f t="shared" si="6"/>
        <v>152720</v>
      </c>
      <c r="K184" s="7">
        <f t="shared" si="7"/>
        <v>173512</v>
      </c>
      <c r="L184" s="8">
        <f t="shared" si="8"/>
        <v>20792</v>
      </c>
    </row>
    <row r="185" spans="1:12" x14ac:dyDescent="0.3">
      <c r="A185" s="8" t="s">
        <v>213</v>
      </c>
      <c r="B185" s="9">
        <v>45110</v>
      </c>
      <c r="C185" s="8" t="s">
        <v>23</v>
      </c>
      <c r="D185" s="8" t="s">
        <v>29</v>
      </c>
      <c r="E185" s="8" t="s">
        <v>14</v>
      </c>
      <c r="F185" s="8" t="s">
        <v>20</v>
      </c>
      <c r="G185" s="7">
        <v>3</v>
      </c>
      <c r="H185" s="7">
        <v>18174</v>
      </c>
      <c r="I185" s="7">
        <v>21380</v>
      </c>
      <c r="J185" s="7">
        <f t="shared" si="6"/>
        <v>54522</v>
      </c>
      <c r="K185" s="7">
        <f t="shared" si="7"/>
        <v>64140</v>
      </c>
      <c r="L185" s="8">
        <f t="shared" si="8"/>
        <v>9618</v>
      </c>
    </row>
    <row r="186" spans="1:12" x14ac:dyDescent="0.3">
      <c r="A186" s="8" t="s">
        <v>214</v>
      </c>
      <c r="B186" s="9">
        <v>45111</v>
      </c>
      <c r="C186" s="8" t="s">
        <v>26</v>
      </c>
      <c r="D186" s="8" t="s">
        <v>17</v>
      </c>
      <c r="E186" s="8" t="s">
        <v>14</v>
      </c>
      <c r="F186" s="8" t="s">
        <v>22</v>
      </c>
      <c r="G186" s="7">
        <v>8</v>
      </c>
      <c r="H186" s="7">
        <v>29986</v>
      </c>
      <c r="I186" s="7">
        <v>33360</v>
      </c>
      <c r="J186" s="7">
        <f t="shared" si="6"/>
        <v>239888</v>
      </c>
      <c r="K186" s="7">
        <f t="shared" si="7"/>
        <v>266880</v>
      </c>
      <c r="L186" s="8">
        <f t="shared" si="8"/>
        <v>26992</v>
      </c>
    </row>
    <row r="187" spans="1:12" x14ac:dyDescent="0.3">
      <c r="A187" s="8" t="s">
        <v>215</v>
      </c>
      <c r="B187" s="9">
        <v>45112</v>
      </c>
      <c r="C187" s="8" t="s">
        <v>16</v>
      </c>
      <c r="D187" s="8" t="s">
        <v>27</v>
      </c>
      <c r="E187" s="8" t="s">
        <v>18</v>
      </c>
      <c r="F187" s="8" t="s">
        <v>25</v>
      </c>
      <c r="G187" s="7">
        <v>3</v>
      </c>
      <c r="H187" s="7">
        <v>10387</v>
      </c>
      <c r="I187" s="7">
        <v>13664</v>
      </c>
      <c r="J187" s="7">
        <f t="shared" si="6"/>
        <v>31161</v>
      </c>
      <c r="K187" s="7">
        <f t="shared" si="7"/>
        <v>40992</v>
      </c>
      <c r="L187" s="8">
        <f t="shared" si="8"/>
        <v>9831</v>
      </c>
    </row>
    <row r="188" spans="1:12" x14ac:dyDescent="0.3">
      <c r="A188" s="8" t="s">
        <v>216</v>
      </c>
      <c r="B188" s="9">
        <v>45113</v>
      </c>
      <c r="C188" s="8" t="s">
        <v>16</v>
      </c>
      <c r="D188" s="8" t="s">
        <v>27</v>
      </c>
      <c r="E188" s="8" t="s">
        <v>14</v>
      </c>
      <c r="F188" s="8" t="s">
        <v>20</v>
      </c>
      <c r="G188" s="7">
        <v>5</v>
      </c>
      <c r="H188" s="7">
        <v>20203</v>
      </c>
      <c r="I188" s="7">
        <v>27971</v>
      </c>
      <c r="J188" s="7">
        <f t="shared" si="6"/>
        <v>101015</v>
      </c>
      <c r="K188" s="7">
        <f t="shared" si="7"/>
        <v>139855</v>
      </c>
      <c r="L188" s="8">
        <f t="shared" si="8"/>
        <v>38840</v>
      </c>
    </row>
    <row r="189" spans="1:12" x14ac:dyDescent="0.3">
      <c r="A189" s="8" t="s">
        <v>217</v>
      </c>
      <c r="B189" s="9">
        <v>45114</v>
      </c>
      <c r="C189" s="8" t="s">
        <v>16</v>
      </c>
      <c r="D189" s="8" t="s">
        <v>17</v>
      </c>
      <c r="E189" s="8" t="s">
        <v>14</v>
      </c>
      <c r="F189" s="8" t="s">
        <v>20</v>
      </c>
      <c r="G189" s="7">
        <v>8</v>
      </c>
      <c r="H189" s="7">
        <v>7947</v>
      </c>
      <c r="I189" s="7">
        <v>12937</v>
      </c>
      <c r="J189" s="7">
        <f t="shared" si="6"/>
        <v>63576</v>
      </c>
      <c r="K189" s="7">
        <f t="shared" si="7"/>
        <v>103496</v>
      </c>
      <c r="L189" s="8">
        <f t="shared" si="8"/>
        <v>39920</v>
      </c>
    </row>
    <row r="190" spans="1:12" x14ac:dyDescent="0.3">
      <c r="A190" s="8" t="s">
        <v>218</v>
      </c>
      <c r="B190" s="9">
        <v>45115</v>
      </c>
      <c r="C190" s="8" t="s">
        <v>23</v>
      </c>
      <c r="D190" s="8" t="s">
        <v>17</v>
      </c>
      <c r="E190" s="8" t="s">
        <v>14</v>
      </c>
      <c r="F190" s="8" t="s">
        <v>22</v>
      </c>
      <c r="G190" s="7">
        <v>9</v>
      </c>
      <c r="H190" s="7">
        <v>2060</v>
      </c>
      <c r="I190" s="7">
        <v>5382</v>
      </c>
      <c r="J190" s="7">
        <f t="shared" si="6"/>
        <v>18540</v>
      </c>
      <c r="K190" s="7">
        <f t="shared" si="7"/>
        <v>48438</v>
      </c>
      <c r="L190" s="8">
        <f t="shared" si="8"/>
        <v>29898</v>
      </c>
    </row>
    <row r="191" spans="1:12" x14ac:dyDescent="0.3">
      <c r="A191" s="8" t="s">
        <v>219</v>
      </c>
      <c r="B191" s="9">
        <v>45116</v>
      </c>
      <c r="C191" s="8" t="s">
        <v>23</v>
      </c>
      <c r="D191" s="8" t="s">
        <v>13</v>
      </c>
      <c r="E191" s="8" t="s">
        <v>14</v>
      </c>
      <c r="F191" s="8" t="s">
        <v>20</v>
      </c>
      <c r="G191" s="7">
        <v>8</v>
      </c>
      <c r="H191" s="7">
        <v>6390</v>
      </c>
      <c r="I191" s="7">
        <v>14530</v>
      </c>
      <c r="J191" s="7">
        <f t="shared" si="6"/>
        <v>51120</v>
      </c>
      <c r="K191" s="7">
        <f t="shared" si="7"/>
        <v>116240</v>
      </c>
      <c r="L191" s="8">
        <f t="shared" si="8"/>
        <v>65120</v>
      </c>
    </row>
    <row r="192" spans="1:12" x14ac:dyDescent="0.3">
      <c r="A192" s="8" t="s">
        <v>220</v>
      </c>
      <c r="B192" s="9">
        <v>45117</v>
      </c>
      <c r="C192" s="8" t="s">
        <v>16</v>
      </c>
      <c r="D192" s="8" t="s">
        <v>21</v>
      </c>
      <c r="E192" s="8" t="s">
        <v>18</v>
      </c>
      <c r="F192" s="8" t="s">
        <v>19</v>
      </c>
      <c r="G192" s="7">
        <v>9</v>
      </c>
      <c r="H192" s="7">
        <v>38898</v>
      </c>
      <c r="I192" s="7">
        <v>41255</v>
      </c>
      <c r="J192" s="7">
        <f t="shared" si="6"/>
        <v>350082</v>
      </c>
      <c r="K192" s="7">
        <f t="shared" si="7"/>
        <v>371295</v>
      </c>
      <c r="L192" s="8">
        <f t="shared" si="8"/>
        <v>21213</v>
      </c>
    </row>
    <row r="193" spans="1:12" x14ac:dyDescent="0.3">
      <c r="A193" s="8" t="s">
        <v>221</v>
      </c>
      <c r="B193" s="9">
        <v>45118</v>
      </c>
      <c r="C193" s="8" t="s">
        <v>16</v>
      </c>
      <c r="D193" s="8" t="s">
        <v>17</v>
      </c>
      <c r="E193" s="8" t="s">
        <v>14</v>
      </c>
      <c r="F193" s="8" t="s">
        <v>20</v>
      </c>
      <c r="G193" s="7">
        <v>8</v>
      </c>
      <c r="H193" s="7">
        <v>25723</v>
      </c>
      <c r="I193" s="7">
        <v>34669</v>
      </c>
      <c r="J193" s="7">
        <f t="shared" si="6"/>
        <v>205784</v>
      </c>
      <c r="K193" s="7">
        <f t="shared" si="7"/>
        <v>277352</v>
      </c>
      <c r="L193" s="8">
        <f t="shared" si="8"/>
        <v>71568</v>
      </c>
    </row>
    <row r="194" spans="1:12" x14ac:dyDescent="0.3">
      <c r="A194" s="8" t="s">
        <v>222</v>
      </c>
      <c r="B194" s="9">
        <v>45119</v>
      </c>
      <c r="C194" s="8" t="s">
        <v>16</v>
      </c>
      <c r="D194" s="8" t="s">
        <v>29</v>
      </c>
      <c r="E194" s="8" t="s">
        <v>18</v>
      </c>
      <c r="F194" s="8" t="s">
        <v>19</v>
      </c>
      <c r="G194" s="7">
        <v>1</v>
      </c>
      <c r="H194" s="7">
        <v>6998</v>
      </c>
      <c r="I194" s="7">
        <v>9331</v>
      </c>
      <c r="J194" s="7">
        <f t="shared" si="6"/>
        <v>6998</v>
      </c>
      <c r="K194" s="7">
        <f t="shared" si="7"/>
        <v>9331</v>
      </c>
      <c r="L194" s="8">
        <f t="shared" si="8"/>
        <v>2333</v>
      </c>
    </row>
    <row r="195" spans="1:12" x14ac:dyDescent="0.3">
      <c r="A195" s="8" t="s">
        <v>223</v>
      </c>
      <c r="B195" s="9">
        <v>45120</v>
      </c>
      <c r="C195" s="8" t="s">
        <v>26</v>
      </c>
      <c r="D195" s="8" t="s">
        <v>27</v>
      </c>
      <c r="E195" s="8" t="s">
        <v>18</v>
      </c>
      <c r="F195" s="8" t="s">
        <v>28</v>
      </c>
      <c r="G195" s="7">
        <v>3</v>
      </c>
      <c r="H195" s="7">
        <v>5076</v>
      </c>
      <c r="I195" s="7">
        <v>14959</v>
      </c>
      <c r="J195" s="7">
        <f t="shared" ref="J195:J258" si="9">G195*H195</f>
        <v>15228</v>
      </c>
      <c r="K195" s="7">
        <f t="shared" ref="K195:K258" si="10">G195*I195</f>
        <v>44877</v>
      </c>
      <c r="L195" s="8">
        <f t="shared" ref="L195:L258" si="11">(I195-H195)*G195</f>
        <v>29649</v>
      </c>
    </row>
    <row r="196" spans="1:12" x14ac:dyDescent="0.3">
      <c r="A196" s="8" t="s">
        <v>224</v>
      </c>
      <c r="B196" s="9">
        <v>45121</v>
      </c>
      <c r="C196" s="8" t="s">
        <v>16</v>
      </c>
      <c r="D196" s="8" t="s">
        <v>17</v>
      </c>
      <c r="E196" s="8" t="s">
        <v>18</v>
      </c>
      <c r="F196" s="8" t="s">
        <v>25</v>
      </c>
      <c r="G196" s="7">
        <v>8</v>
      </c>
      <c r="H196" s="7">
        <v>2537</v>
      </c>
      <c r="I196" s="7">
        <v>2939</v>
      </c>
      <c r="J196" s="7">
        <f t="shared" si="9"/>
        <v>20296</v>
      </c>
      <c r="K196" s="7">
        <f t="shared" si="10"/>
        <v>23512</v>
      </c>
      <c r="L196" s="8">
        <f t="shared" si="11"/>
        <v>3216</v>
      </c>
    </row>
    <row r="197" spans="1:12" x14ac:dyDescent="0.3">
      <c r="A197" s="8" t="s">
        <v>225</v>
      </c>
      <c r="B197" s="9">
        <v>45122</v>
      </c>
      <c r="C197" s="8" t="s">
        <v>23</v>
      </c>
      <c r="D197" s="8" t="s">
        <v>24</v>
      </c>
      <c r="E197" s="8" t="s">
        <v>14</v>
      </c>
      <c r="F197" s="8" t="s">
        <v>22</v>
      </c>
      <c r="G197" s="7">
        <v>6</v>
      </c>
      <c r="H197" s="7">
        <v>31028</v>
      </c>
      <c r="I197" s="7">
        <v>34895</v>
      </c>
      <c r="J197" s="7">
        <f t="shared" si="9"/>
        <v>186168</v>
      </c>
      <c r="K197" s="7">
        <f t="shared" si="10"/>
        <v>209370</v>
      </c>
      <c r="L197" s="8">
        <f t="shared" si="11"/>
        <v>23202</v>
      </c>
    </row>
    <row r="198" spans="1:12" x14ac:dyDescent="0.3">
      <c r="A198" s="8" t="s">
        <v>226</v>
      </c>
      <c r="B198" s="9">
        <v>45123</v>
      </c>
      <c r="C198" s="8" t="s">
        <v>16</v>
      </c>
      <c r="D198" s="8" t="s">
        <v>21</v>
      </c>
      <c r="E198" s="8" t="s">
        <v>14</v>
      </c>
      <c r="F198" s="8" t="s">
        <v>22</v>
      </c>
      <c r="G198" s="7">
        <v>4</v>
      </c>
      <c r="H198" s="7">
        <v>2728</v>
      </c>
      <c r="I198" s="7">
        <v>12579</v>
      </c>
      <c r="J198" s="7">
        <f t="shared" si="9"/>
        <v>10912</v>
      </c>
      <c r="K198" s="7">
        <f t="shared" si="10"/>
        <v>50316</v>
      </c>
      <c r="L198" s="8">
        <f t="shared" si="11"/>
        <v>39404</v>
      </c>
    </row>
    <row r="199" spans="1:12" x14ac:dyDescent="0.3">
      <c r="A199" s="8" t="s">
        <v>227</v>
      </c>
      <c r="B199" s="9">
        <v>45124</v>
      </c>
      <c r="C199" s="8" t="s">
        <v>16</v>
      </c>
      <c r="D199" s="8" t="s">
        <v>13</v>
      </c>
      <c r="E199" s="8" t="s">
        <v>14</v>
      </c>
      <c r="F199" s="8" t="s">
        <v>20</v>
      </c>
      <c r="G199" s="7">
        <v>9</v>
      </c>
      <c r="H199" s="7">
        <v>30549</v>
      </c>
      <c r="I199" s="7">
        <v>33539</v>
      </c>
      <c r="J199" s="7">
        <f t="shared" si="9"/>
        <v>274941</v>
      </c>
      <c r="K199" s="7">
        <f t="shared" si="10"/>
        <v>301851</v>
      </c>
      <c r="L199" s="8">
        <f t="shared" si="11"/>
        <v>26910</v>
      </c>
    </row>
    <row r="200" spans="1:12" x14ac:dyDescent="0.3">
      <c r="A200" s="8" t="s">
        <v>228</v>
      </c>
      <c r="B200" s="9">
        <v>45125</v>
      </c>
      <c r="C200" s="8" t="s">
        <v>16</v>
      </c>
      <c r="D200" s="8" t="s">
        <v>17</v>
      </c>
      <c r="E200" s="8" t="s">
        <v>18</v>
      </c>
      <c r="F200" s="8" t="s">
        <v>19</v>
      </c>
      <c r="G200" s="7">
        <v>2</v>
      </c>
      <c r="H200" s="7">
        <v>34009</v>
      </c>
      <c r="I200" s="7">
        <v>39010</v>
      </c>
      <c r="J200" s="7">
        <f t="shared" si="9"/>
        <v>68018</v>
      </c>
      <c r="K200" s="7">
        <f t="shared" si="10"/>
        <v>78020</v>
      </c>
      <c r="L200" s="8">
        <f t="shared" si="11"/>
        <v>10002</v>
      </c>
    </row>
    <row r="201" spans="1:12" x14ac:dyDescent="0.3">
      <c r="A201" s="8" t="s">
        <v>229</v>
      </c>
      <c r="B201" s="9">
        <v>45126</v>
      </c>
      <c r="C201" s="8" t="s">
        <v>12</v>
      </c>
      <c r="D201" s="8" t="s">
        <v>13</v>
      </c>
      <c r="E201" s="8" t="s">
        <v>14</v>
      </c>
      <c r="F201" s="8" t="s">
        <v>15</v>
      </c>
      <c r="G201" s="7">
        <v>3</v>
      </c>
      <c r="H201" s="7">
        <v>30558</v>
      </c>
      <c r="I201" s="7">
        <v>32438</v>
      </c>
      <c r="J201" s="7">
        <f t="shared" si="9"/>
        <v>91674</v>
      </c>
      <c r="K201" s="7">
        <f t="shared" si="10"/>
        <v>97314</v>
      </c>
      <c r="L201" s="8">
        <f t="shared" si="11"/>
        <v>5640</v>
      </c>
    </row>
    <row r="202" spans="1:12" x14ac:dyDescent="0.3">
      <c r="A202" s="8" t="s">
        <v>234</v>
      </c>
      <c r="B202" s="9">
        <v>45127</v>
      </c>
      <c r="C202" s="8" t="s">
        <v>26</v>
      </c>
      <c r="D202" s="8" t="s">
        <v>24</v>
      </c>
      <c r="E202" s="8" t="s">
        <v>18</v>
      </c>
      <c r="F202" s="8" t="s">
        <v>28</v>
      </c>
      <c r="G202" s="7">
        <v>3</v>
      </c>
      <c r="H202" s="7">
        <v>35038</v>
      </c>
      <c r="I202" s="7">
        <v>35770</v>
      </c>
      <c r="J202" s="7">
        <f t="shared" si="9"/>
        <v>105114</v>
      </c>
      <c r="K202" s="7">
        <f t="shared" si="10"/>
        <v>107310</v>
      </c>
      <c r="L202" s="8">
        <f t="shared" si="11"/>
        <v>2196</v>
      </c>
    </row>
    <row r="203" spans="1:12" x14ac:dyDescent="0.3">
      <c r="A203" s="8" t="s">
        <v>235</v>
      </c>
      <c r="B203" s="9">
        <v>45128</v>
      </c>
      <c r="C203" s="8" t="s">
        <v>23</v>
      </c>
      <c r="D203" s="8" t="s">
        <v>27</v>
      </c>
      <c r="E203" s="8" t="s">
        <v>18</v>
      </c>
      <c r="F203" s="8" t="s">
        <v>28</v>
      </c>
      <c r="G203" s="7">
        <v>3</v>
      </c>
      <c r="H203" s="7">
        <v>24443</v>
      </c>
      <c r="I203" s="7">
        <v>29661</v>
      </c>
      <c r="J203" s="7">
        <f t="shared" si="9"/>
        <v>73329</v>
      </c>
      <c r="K203" s="7">
        <f t="shared" si="10"/>
        <v>88983</v>
      </c>
      <c r="L203" s="8">
        <f t="shared" si="11"/>
        <v>15654</v>
      </c>
    </row>
    <row r="204" spans="1:12" x14ac:dyDescent="0.3">
      <c r="A204" s="8" t="s">
        <v>236</v>
      </c>
      <c r="B204" s="9">
        <v>45129</v>
      </c>
      <c r="C204" s="8" t="s">
        <v>23</v>
      </c>
      <c r="D204" s="8" t="s">
        <v>13</v>
      </c>
      <c r="E204" s="8" t="s">
        <v>18</v>
      </c>
      <c r="F204" s="8" t="s">
        <v>19</v>
      </c>
      <c r="G204" s="7">
        <v>6</v>
      </c>
      <c r="H204" s="7">
        <v>12654</v>
      </c>
      <c r="I204" s="7">
        <v>17365</v>
      </c>
      <c r="J204" s="7">
        <f t="shared" si="9"/>
        <v>75924</v>
      </c>
      <c r="K204" s="7">
        <f t="shared" si="10"/>
        <v>104190</v>
      </c>
      <c r="L204" s="8">
        <f t="shared" si="11"/>
        <v>28266</v>
      </c>
    </row>
    <row r="205" spans="1:12" x14ac:dyDescent="0.3">
      <c r="A205" s="8" t="s">
        <v>237</v>
      </c>
      <c r="B205" s="9">
        <v>45130</v>
      </c>
      <c r="C205" s="8" t="s">
        <v>12</v>
      </c>
      <c r="D205" s="8" t="s">
        <v>27</v>
      </c>
      <c r="E205" s="8" t="s">
        <v>14</v>
      </c>
      <c r="F205" s="8" t="s">
        <v>15</v>
      </c>
      <c r="G205" s="7">
        <v>7</v>
      </c>
      <c r="H205" s="7">
        <v>30937</v>
      </c>
      <c r="I205" s="7">
        <v>36858</v>
      </c>
      <c r="J205" s="7">
        <f t="shared" si="9"/>
        <v>216559</v>
      </c>
      <c r="K205" s="7">
        <f t="shared" si="10"/>
        <v>258006</v>
      </c>
      <c r="L205" s="8">
        <f t="shared" si="11"/>
        <v>41447</v>
      </c>
    </row>
    <row r="206" spans="1:12" x14ac:dyDescent="0.3">
      <c r="A206" s="8" t="s">
        <v>238</v>
      </c>
      <c r="B206" s="9">
        <v>45131</v>
      </c>
      <c r="C206" s="8" t="s">
        <v>16</v>
      </c>
      <c r="D206" s="8" t="s">
        <v>29</v>
      </c>
      <c r="E206" s="8" t="s">
        <v>14</v>
      </c>
      <c r="F206" s="8" t="s">
        <v>22</v>
      </c>
      <c r="G206" s="7">
        <v>6</v>
      </c>
      <c r="H206" s="7">
        <v>39139</v>
      </c>
      <c r="I206" s="7">
        <v>43375</v>
      </c>
      <c r="J206" s="7">
        <f t="shared" si="9"/>
        <v>234834</v>
      </c>
      <c r="K206" s="7">
        <f t="shared" si="10"/>
        <v>260250</v>
      </c>
      <c r="L206" s="8">
        <f t="shared" si="11"/>
        <v>25416</v>
      </c>
    </row>
    <row r="207" spans="1:12" x14ac:dyDescent="0.3">
      <c r="A207" s="8" t="s">
        <v>239</v>
      </c>
      <c r="B207" s="9">
        <v>45132</v>
      </c>
      <c r="C207" s="8" t="s">
        <v>12</v>
      </c>
      <c r="D207" s="8" t="s">
        <v>13</v>
      </c>
      <c r="E207" s="8" t="s">
        <v>18</v>
      </c>
      <c r="F207" s="8" t="s">
        <v>25</v>
      </c>
      <c r="G207" s="7">
        <v>6</v>
      </c>
      <c r="H207" s="7">
        <v>29642</v>
      </c>
      <c r="I207" s="7">
        <v>33246</v>
      </c>
      <c r="J207" s="7">
        <f t="shared" si="9"/>
        <v>177852</v>
      </c>
      <c r="K207" s="7">
        <f t="shared" si="10"/>
        <v>199476</v>
      </c>
      <c r="L207" s="8">
        <f t="shared" si="11"/>
        <v>21624</v>
      </c>
    </row>
    <row r="208" spans="1:12" x14ac:dyDescent="0.3">
      <c r="A208" s="8" t="s">
        <v>240</v>
      </c>
      <c r="B208" s="9">
        <v>45133</v>
      </c>
      <c r="C208" s="8" t="s">
        <v>16</v>
      </c>
      <c r="D208" s="8" t="s">
        <v>27</v>
      </c>
      <c r="E208" s="8" t="s">
        <v>18</v>
      </c>
      <c r="F208" s="8" t="s">
        <v>28</v>
      </c>
      <c r="G208" s="7">
        <v>6</v>
      </c>
      <c r="H208" s="7">
        <v>20154</v>
      </c>
      <c r="I208" s="7">
        <v>25640</v>
      </c>
      <c r="J208" s="7">
        <f t="shared" si="9"/>
        <v>120924</v>
      </c>
      <c r="K208" s="7">
        <f t="shared" si="10"/>
        <v>153840</v>
      </c>
      <c r="L208" s="8">
        <f t="shared" si="11"/>
        <v>32916</v>
      </c>
    </row>
    <row r="209" spans="1:12" x14ac:dyDescent="0.3">
      <c r="A209" s="8" t="s">
        <v>241</v>
      </c>
      <c r="B209" s="9">
        <v>45134</v>
      </c>
      <c r="C209" s="8" t="s">
        <v>16</v>
      </c>
      <c r="D209" s="8" t="s">
        <v>29</v>
      </c>
      <c r="E209" s="8" t="s">
        <v>18</v>
      </c>
      <c r="F209" s="8" t="s">
        <v>28</v>
      </c>
      <c r="G209" s="7">
        <v>3</v>
      </c>
      <c r="H209" s="7">
        <v>18997</v>
      </c>
      <c r="I209" s="7">
        <v>25919</v>
      </c>
      <c r="J209" s="7">
        <f t="shared" si="9"/>
        <v>56991</v>
      </c>
      <c r="K209" s="7">
        <f t="shared" si="10"/>
        <v>77757</v>
      </c>
      <c r="L209" s="8">
        <f t="shared" si="11"/>
        <v>20766</v>
      </c>
    </row>
    <row r="210" spans="1:12" x14ac:dyDescent="0.3">
      <c r="A210" s="8" t="s">
        <v>242</v>
      </c>
      <c r="B210" s="9">
        <v>45135</v>
      </c>
      <c r="C210" s="8" t="s">
        <v>12</v>
      </c>
      <c r="D210" s="8" t="s">
        <v>13</v>
      </c>
      <c r="E210" s="8" t="s">
        <v>18</v>
      </c>
      <c r="F210" s="8" t="s">
        <v>25</v>
      </c>
      <c r="G210" s="7">
        <v>5</v>
      </c>
      <c r="H210" s="7">
        <v>4736</v>
      </c>
      <c r="I210" s="7">
        <v>5968</v>
      </c>
      <c r="J210" s="7">
        <f t="shared" si="9"/>
        <v>23680</v>
      </c>
      <c r="K210" s="7">
        <f t="shared" si="10"/>
        <v>29840</v>
      </c>
      <c r="L210" s="8">
        <f t="shared" si="11"/>
        <v>6160</v>
      </c>
    </row>
    <row r="211" spans="1:12" x14ac:dyDescent="0.3">
      <c r="A211" s="8" t="s">
        <v>243</v>
      </c>
      <c r="B211" s="9">
        <v>45136</v>
      </c>
      <c r="C211" s="8" t="s">
        <v>23</v>
      </c>
      <c r="D211" s="8" t="s">
        <v>17</v>
      </c>
      <c r="E211" s="8" t="s">
        <v>14</v>
      </c>
      <c r="F211" s="8" t="s">
        <v>20</v>
      </c>
      <c r="G211" s="7">
        <v>7</v>
      </c>
      <c r="H211" s="7">
        <v>4073</v>
      </c>
      <c r="I211" s="7">
        <v>10914</v>
      </c>
      <c r="J211" s="7">
        <f t="shared" si="9"/>
        <v>28511</v>
      </c>
      <c r="K211" s="7">
        <f t="shared" si="10"/>
        <v>76398</v>
      </c>
      <c r="L211" s="8">
        <f t="shared" si="11"/>
        <v>47887</v>
      </c>
    </row>
    <row r="212" spans="1:12" x14ac:dyDescent="0.3">
      <c r="A212" s="8" t="s">
        <v>244</v>
      </c>
      <c r="B212" s="9">
        <v>45137</v>
      </c>
      <c r="C212" s="8" t="s">
        <v>12</v>
      </c>
      <c r="D212" s="8" t="s">
        <v>21</v>
      </c>
      <c r="E212" s="8" t="s">
        <v>18</v>
      </c>
      <c r="F212" s="8" t="s">
        <v>25</v>
      </c>
      <c r="G212" s="7">
        <v>9</v>
      </c>
      <c r="H212" s="7">
        <v>33144</v>
      </c>
      <c r="I212" s="7">
        <v>37652</v>
      </c>
      <c r="J212" s="7">
        <f t="shared" si="9"/>
        <v>298296</v>
      </c>
      <c r="K212" s="7">
        <f t="shared" si="10"/>
        <v>338868</v>
      </c>
      <c r="L212" s="8">
        <f t="shared" si="11"/>
        <v>40572</v>
      </c>
    </row>
    <row r="213" spans="1:12" x14ac:dyDescent="0.3">
      <c r="A213" s="8" t="s">
        <v>245</v>
      </c>
      <c r="B213" s="9">
        <v>45138</v>
      </c>
      <c r="C213" s="8" t="s">
        <v>16</v>
      </c>
      <c r="D213" s="8" t="s">
        <v>17</v>
      </c>
      <c r="E213" s="8" t="s">
        <v>18</v>
      </c>
      <c r="F213" s="8" t="s">
        <v>28</v>
      </c>
      <c r="G213" s="7">
        <v>9</v>
      </c>
      <c r="H213" s="7">
        <v>36576</v>
      </c>
      <c r="I213" s="7">
        <v>44663</v>
      </c>
      <c r="J213" s="7">
        <f t="shared" si="9"/>
        <v>329184</v>
      </c>
      <c r="K213" s="7">
        <f t="shared" si="10"/>
        <v>401967</v>
      </c>
      <c r="L213" s="8">
        <f t="shared" si="11"/>
        <v>72783</v>
      </c>
    </row>
    <row r="214" spans="1:12" x14ac:dyDescent="0.3">
      <c r="A214" s="8" t="s">
        <v>246</v>
      </c>
      <c r="B214" s="9">
        <v>45139</v>
      </c>
      <c r="C214" s="8" t="s">
        <v>26</v>
      </c>
      <c r="D214" s="8" t="s">
        <v>13</v>
      </c>
      <c r="E214" s="8" t="s">
        <v>14</v>
      </c>
      <c r="F214" s="8" t="s">
        <v>22</v>
      </c>
      <c r="G214" s="7">
        <v>6</v>
      </c>
      <c r="H214" s="7">
        <v>19606</v>
      </c>
      <c r="I214" s="7">
        <v>23656</v>
      </c>
      <c r="J214" s="7">
        <f t="shared" si="9"/>
        <v>117636</v>
      </c>
      <c r="K214" s="7">
        <f t="shared" si="10"/>
        <v>141936</v>
      </c>
      <c r="L214" s="8">
        <f t="shared" si="11"/>
        <v>24300</v>
      </c>
    </row>
    <row r="215" spans="1:12" x14ac:dyDescent="0.3">
      <c r="A215" s="8" t="s">
        <v>247</v>
      </c>
      <c r="B215" s="9">
        <v>45140</v>
      </c>
      <c r="C215" s="8" t="s">
        <v>12</v>
      </c>
      <c r="D215" s="8" t="s">
        <v>29</v>
      </c>
      <c r="E215" s="8" t="s">
        <v>18</v>
      </c>
      <c r="F215" s="8" t="s">
        <v>25</v>
      </c>
      <c r="G215" s="7">
        <v>7</v>
      </c>
      <c r="H215" s="7">
        <v>17351</v>
      </c>
      <c r="I215" s="7">
        <v>17789</v>
      </c>
      <c r="J215" s="7">
        <f t="shared" si="9"/>
        <v>121457</v>
      </c>
      <c r="K215" s="7">
        <f t="shared" si="10"/>
        <v>124523</v>
      </c>
      <c r="L215" s="8">
        <f t="shared" si="11"/>
        <v>3066</v>
      </c>
    </row>
    <row r="216" spans="1:12" x14ac:dyDescent="0.3">
      <c r="A216" s="8" t="s">
        <v>248</v>
      </c>
      <c r="B216" s="9">
        <v>45141</v>
      </c>
      <c r="C216" s="8" t="s">
        <v>23</v>
      </c>
      <c r="D216" s="8" t="s">
        <v>17</v>
      </c>
      <c r="E216" s="8" t="s">
        <v>14</v>
      </c>
      <c r="F216" s="8" t="s">
        <v>22</v>
      </c>
      <c r="G216" s="7">
        <v>8</v>
      </c>
      <c r="H216" s="7">
        <v>28386</v>
      </c>
      <c r="I216" s="7">
        <v>36029</v>
      </c>
      <c r="J216" s="7">
        <f t="shared" si="9"/>
        <v>227088</v>
      </c>
      <c r="K216" s="7">
        <f t="shared" si="10"/>
        <v>288232</v>
      </c>
      <c r="L216" s="8">
        <f t="shared" si="11"/>
        <v>61144</v>
      </c>
    </row>
    <row r="217" spans="1:12" x14ac:dyDescent="0.3">
      <c r="A217" s="8" t="s">
        <v>249</v>
      </c>
      <c r="B217" s="9">
        <v>45142</v>
      </c>
      <c r="C217" s="8" t="s">
        <v>26</v>
      </c>
      <c r="D217" s="8" t="s">
        <v>24</v>
      </c>
      <c r="E217" s="8" t="s">
        <v>14</v>
      </c>
      <c r="F217" s="8" t="s">
        <v>22</v>
      </c>
      <c r="G217" s="7">
        <v>5</v>
      </c>
      <c r="H217" s="7">
        <v>30737</v>
      </c>
      <c r="I217" s="7">
        <v>39639</v>
      </c>
      <c r="J217" s="7">
        <f t="shared" si="9"/>
        <v>153685</v>
      </c>
      <c r="K217" s="7">
        <f t="shared" si="10"/>
        <v>198195</v>
      </c>
      <c r="L217" s="8">
        <f t="shared" si="11"/>
        <v>44510</v>
      </c>
    </row>
    <row r="218" spans="1:12" x14ac:dyDescent="0.3">
      <c r="A218" s="8" t="s">
        <v>250</v>
      </c>
      <c r="B218" s="9">
        <v>45143</v>
      </c>
      <c r="C218" s="8" t="s">
        <v>16</v>
      </c>
      <c r="D218" s="8" t="s">
        <v>21</v>
      </c>
      <c r="E218" s="8" t="s">
        <v>18</v>
      </c>
      <c r="F218" s="8" t="s">
        <v>25</v>
      </c>
      <c r="G218" s="7">
        <v>9</v>
      </c>
      <c r="H218" s="7">
        <v>23908</v>
      </c>
      <c r="I218" s="7">
        <v>25435</v>
      </c>
      <c r="J218" s="7">
        <f t="shared" si="9"/>
        <v>215172</v>
      </c>
      <c r="K218" s="7">
        <f t="shared" si="10"/>
        <v>228915</v>
      </c>
      <c r="L218" s="8">
        <f t="shared" si="11"/>
        <v>13743</v>
      </c>
    </row>
    <row r="219" spans="1:12" x14ac:dyDescent="0.3">
      <c r="A219" s="8" t="s">
        <v>251</v>
      </c>
      <c r="B219" s="9">
        <v>45144</v>
      </c>
      <c r="C219" s="8" t="s">
        <v>12</v>
      </c>
      <c r="D219" s="8" t="s">
        <v>29</v>
      </c>
      <c r="E219" s="8" t="s">
        <v>14</v>
      </c>
      <c r="F219" s="8" t="s">
        <v>15</v>
      </c>
      <c r="G219" s="7">
        <v>6</v>
      </c>
      <c r="H219" s="7">
        <v>32460</v>
      </c>
      <c r="I219" s="7">
        <v>42231</v>
      </c>
      <c r="J219" s="7">
        <f t="shared" si="9"/>
        <v>194760</v>
      </c>
      <c r="K219" s="7">
        <f t="shared" si="10"/>
        <v>253386</v>
      </c>
      <c r="L219" s="8">
        <f t="shared" si="11"/>
        <v>58626</v>
      </c>
    </row>
    <row r="220" spans="1:12" x14ac:dyDescent="0.3">
      <c r="A220" s="8" t="s">
        <v>252</v>
      </c>
      <c r="B220" s="9">
        <v>45145</v>
      </c>
      <c r="C220" s="8" t="s">
        <v>23</v>
      </c>
      <c r="D220" s="8" t="s">
        <v>27</v>
      </c>
      <c r="E220" s="8" t="s">
        <v>18</v>
      </c>
      <c r="F220" s="8" t="s">
        <v>25</v>
      </c>
      <c r="G220" s="7">
        <v>7</v>
      </c>
      <c r="H220" s="7">
        <v>22994</v>
      </c>
      <c r="I220" s="7">
        <v>29977</v>
      </c>
      <c r="J220" s="7">
        <f t="shared" si="9"/>
        <v>160958</v>
      </c>
      <c r="K220" s="7">
        <f t="shared" si="10"/>
        <v>209839</v>
      </c>
      <c r="L220" s="8">
        <f t="shared" si="11"/>
        <v>48881</v>
      </c>
    </row>
    <row r="221" spans="1:12" x14ac:dyDescent="0.3">
      <c r="A221" s="8" t="s">
        <v>253</v>
      </c>
      <c r="B221" s="9">
        <v>45146</v>
      </c>
      <c r="C221" s="8" t="s">
        <v>12</v>
      </c>
      <c r="D221" s="8" t="s">
        <v>17</v>
      </c>
      <c r="E221" s="8" t="s">
        <v>18</v>
      </c>
      <c r="F221" s="8" t="s">
        <v>19</v>
      </c>
      <c r="G221" s="7">
        <v>1</v>
      </c>
      <c r="H221" s="7">
        <v>30549</v>
      </c>
      <c r="I221" s="7">
        <v>38349</v>
      </c>
      <c r="J221" s="7">
        <f t="shared" si="9"/>
        <v>30549</v>
      </c>
      <c r="K221" s="7">
        <f t="shared" si="10"/>
        <v>38349</v>
      </c>
      <c r="L221" s="8">
        <f t="shared" si="11"/>
        <v>7800</v>
      </c>
    </row>
    <row r="222" spans="1:12" x14ac:dyDescent="0.3">
      <c r="A222" s="8" t="s">
        <v>254</v>
      </c>
      <c r="B222" s="9">
        <v>45147</v>
      </c>
      <c r="C222" s="8" t="s">
        <v>23</v>
      </c>
      <c r="D222" s="8" t="s">
        <v>21</v>
      </c>
      <c r="E222" s="8" t="s">
        <v>18</v>
      </c>
      <c r="F222" s="8" t="s">
        <v>19</v>
      </c>
      <c r="G222" s="7">
        <v>6</v>
      </c>
      <c r="H222" s="7">
        <v>33430</v>
      </c>
      <c r="I222" s="7">
        <v>37893</v>
      </c>
      <c r="J222" s="7">
        <f t="shared" si="9"/>
        <v>200580</v>
      </c>
      <c r="K222" s="7">
        <f t="shared" si="10"/>
        <v>227358</v>
      </c>
      <c r="L222" s="8">
        <f t="shared" si="11"/>
        <v>26778</v>
      </c>
    </row>
    <row r="223" spans="1:12" x14ac:dyDescent="0.3">
      <c r="A223" s="8" t="s">
        <v>255</v>
      </c>
      <c r="B223" s="9">
        <v>45148</v>
      </c>
      <c r="C223" s="8" t="s">
        <v>26</v>
      </c>
      <c r="D223" s="8" t="s">
        <v>17</v>
      </c>
      <c r="E223" s="8" t="s">
        <v>14</v>
      </c>
      <c r="F223" s="8" t="s">
        <v>22</v>
      </c>
      <c r="G223" s="7">
        <v>5</v>
      </c>
      <c r="H223" s="7">
        <v>35197</v>
      </c>
      <c r="I223" s="7">
        <v>37896</v>
      </c>
      <c r="J223" s="7">
        <f t="shared" si="9"/>
        <v>175985</v>
      </c>
      <c r="K223" s="7">
        <f t="shared" si="10"/>
        <v>189480</v>
      </c>
      <c r="L223" s="8">
        <f t="shared" si="11"/>
        <v>13495</v>
      </c>
    </row>
    <row r="224" spans="1:12" x14ac:dyDescent="0.3">
      <c r="A224" s="8" t="s">
        <v>256</v>
      </c>
      <c r="B224" s="9">
        <v>45149</v>
      </c>
      <c r="C224" s="8" t="s">
        <v>16</v>
      </c>
      <c r="D224" s="8" t="s">
        <v>24</v>
      </c>
      <c r="E224" s="8" t="s">
        <v>14</v>
      </c>
      <c r="F224" s="8" t="s">
        <v>22</v>
      </c>
      <c r="G224" s="7">
        <v>1</v>
      </c>
      <c r="H224" s="7">
        <v>27078</v>
      </c>
      <c r="I224" s="7">
        <v>31452</v>
      </c>
      <c r="J224" s="7">
        <f t="shared" si="9"/>
        <v>27078</v>
      </c>
      <c r="K224" s="7">
        <f t="shared" si="10"/>
        <v>31452</v>
      </c>
      <c r="L224" s="8">
        <f t="shared" si="11"/>
        <v>4374</v>
      </c>
    </row>
    <row r="225" spans="1:12" x14ac:dyDescent="0.3">
      <c r="A225" s="8" t="s">
        <v>257</v>
      </c>
      <c r="B225" s="9">
        <v>45150</v>
      </c>
      <c r="C225" s="8" t="s">
        <v>12</v>
      </c>
      <c r="D225" s="8" t="s">
        <v>29</v>
      </c>
      <c r="E225" s="8" t="s">
        <v>18</v>
      </c>
      <c r="F225" s="8" t="s">
        <v>19</v>
      </c>
      <c r="G225" s="7">
        <v>5</v>
      </c>
      <c r="H225" s="7">
        <v>12205</v>
      </c>
      <c r="I225" s="7">
        <v>17630</v>
      </c>
      <c r="J225" s="7">
        <f t="shared" si="9"/>
        <v>61025</v>
      </c>
      <c r="K225" s="7">
        <f t="shared" si="10"/>
        <v>88150</v>
      </c>
      <c r="L225" s="8">
        <f t="shared" si="11"/>
        <v>27125</v>
      </c>
    </row>
    <row r="226" spans="1:12" x14ac:dyDescent="0.3">
      <c r="A226" s="8" t="s">
        <v>258</v>
      </c>
      <c r="B226" s="9">
        <v>45151</v>
      </c>
      <c r="C226" s="8" t="s">
        <v>26</v>
      </c>
      <c r="D226" s="8" t="s">
        <v>27</v>
      </c>
      <c r="E226" s="8" t="s">
        <v>14</v>
      </c>
      <c r="F226" s="8" t="s">
        <v>20</v>
      </c>
      <c r="G226" s="7">
        <v>4</v>
      </c>
      <c r="H226" s="7">
        <v>3369</v>
      </c>
      <c r="I226" s="7">
        <v>6143</v>
      </c>
      <c r="J226" s="7">
        <f t="shared" si="9"/>
        <v>13476</v>
      </c>
      <c r="K226" s="7">
        <f t="shared" si="10"/>
        <v>24572</v>
      </c>
      <c r="L226" s="8">
        <f t="shared" si="11"/>
        <v>11096</v>
      </c>
    </row>
    <row r="227" spans="1:12" x14ac:dyDescent="0.3">
      <c r="A227" s="8" t="s">
        <v>259</v>
      </c>
      <c r="B227" s="9">
        <v>45152</v>
      </c>
      <c r="C227" s="8" t="s">
        <v>12</v>
      </c>
      <c r="D227" s="8" t="s">
        <v>27</v>
      </c>
      <c r="E227" s="8" t="s">
        <v>14</v>
      </c>
      <c r="F227" s="8" t="s">
        <v>15</v>
      </c>
      <c r="G227" s="7">
        <v>1</v>
      </c>
      <c r="H227" s="7">
        <v>36937</v>
      </c>
      <c r="I227" s="7">
        <v>39506</v>
      </c>
      <c r="J227" s="7">
        <f t="shared" si="9"/>
        <v>36937</v>
      </c>
      <c r="K227" s="7">
        <f t="shared" si="10"/>
        <v>39506</v>
      </c>
      <c r="L227" s="8">
        <f t="shared" si="11"/>
        <v>2569</v>
      </c>
    </row>
    <row r="228" spans="1:12" x14ac:dyDescent="0.3">
      <c r="A228" s="8" t="s">
        <v>260</v>
      </c>
      <c r="B228" s="9">
        <v>45153</v>
      </c>
      <c r="C228" s="8" t="s">
        <v>23</v>
      </c>
      <c r="D228" s="8" t="s">
        <v>29</v>
      </c>
      <c r="E228" s="8" t="s">
        <v>14</v>
      </c>
      <c r="F228" s="8" t="s">
        <v>22</v>
      </c>
      <c r="G228" s="7">
        <v>8</v>
      </c>
      <c r="H228" s="7">
        <v>34805</v>
      </c>
      <c r="I228" s="7">
        <v>41124</v>
      </c>
      <c r="J228" s="7">
        <f t="shared" si="9"/>
        <v>278440</v>
      </c>
      <c r="K228" s="7">
        <f t="shared" si="10"/>
        <v>328992</v>
      </c>
      <c r="L228" s="8">
        <f t="shared" si="11"/>
        <v>50552</v>
      </c>
    </row>
    <row r="229" spans="1:12" x14ac:dyDescent="0.3">
      <c r="A229" s="8" t="s">
        <v>261</v>
      </c>
      <c r="B229" s="9">
        <v>45154</v>
      </c>
      <c r="C229" s="8" t="s">
        <v>16</v>
      </c>
      <c r="D229" s="8" t="s">
        <v>17</v>
      </c>
      <c r="E229" s="8" t="s">
        <v>18</v>
      </c>
      <c r="F229" s="8" t="s">
        <v>19</v>
      </c>
      <c r="G229" s="7">
        <v>1</v>
      </c>
      <c r="H229" s="7">
        <v>30007</v>
      </c>
      <c r="I229" s="7">
        <v>32685</v>
      </c>
      <c r="J229" s="7">
        <f t="shared" si="9"/>
        <v>30007</v>
      </c>
      <c r="K229" s="7">
        <f t="shared" si="10"/>
        <v>32685</v>
      </c>
      <c r="L229" s="8">
        <f t="shared" si="11"/>
        <v>2678</v>
      </c>
    </row>
    <row r="230" spans="1:12" x14ac:dyDescent="0.3">
      <c r="A230" s="8" t="s">
        <v>262</v>
      </c>
      <c r="B230" s="9">
        <v>45155</v>
      </c>
      <c r="C230" s="8" t="s">
        <v>12</v>
      </c>
      <c r="D230" s="8" t="s">
        <v>24</v>
      </c>
      <c r="E230" s="8" t="s">
        <v>14</v>
      </c>
      <c r="F230" s="8" t="s">
        <v>15</v>
      </c>
      <c r="G230" s="7">
        <v>4</v>
      </c>
      <c r="H230" s="7">
        <v>7074</v>
      </c>
      <c r="I230" s="7">
        <v>11049</v>
      </c>
      <c r="J230" s="7">
        <f t="shared" si="9"/>
        <v>28296</v>
      </c>
      <c r="K230" s="7">
        <f t="shared" si="10"/>
        <v>44196</v>
      </c>
      <c r="L230" s="8">
        <f t="shared" si="11"/>
        <v>15900</v>
      </c>
    </row>
    <row r="231" spans="1:12" x14ac:dyDescent="0.3">
      <c r="A231" s="8" t="s">
        <v>263</v>
      </c>
      <c r="B231" s="9">
        <v>45156</v>
      </c>
      <c r="C231" s="8" t="s">
        <v>12</v>
      </c>
      <c r="D231" s="8" t="s">
        <v>21</v>
      </c>
      <c r="E231" s="8" t="s">
        <v>18</v>
      </c>
      <c r="F231" s="8" t="s">
        <v>28</v>
      </c>
      <c r="G231" s="7">
        <v>8</v>
      </c>
      <c r="H231" s="7">
        <v>7081</v>
      </c>
      <c r="I231" s="7">
        <v>12601</v>
      </c>
      <c r="J231" s="7">
        <f t="shared" si="9"/>
        <v>56648</v>
      </c>
      <c r="K231" s="7">
        <f t="shared" si="10"/>
        <v>100808</v>
      </c>
      <c r="L231" s="8">
        <f t="shared" si="11"/>
        <v>44160</v>
      </c>
    </row>
    <row r="232" spans="1:12" x14ac:dyDescent="0.3">
      <c r="A232" s="8" t="s">
        <v>264</v>
      </c>
      <c r="B232" s="9">
        <v>45157</v>
      </c>
      <c r="C232" s="8" t="s">
        <v>26</v>
      </c>
      <c r="D232" s="8" t="s">
        <v>13</v>
      </c>
      <c r="E232" s="8" t="s">
        <v>14</v>
      </c>
      <c r="F232" s="8" t="s">
        <v>22</v>
      </c>
      <c r="G232" s="7">
        <v>2</v>
      </c>
      <c r="H232" s="7">
        <v>11952</v>
      </c>
      <c r="I232" s="7">
        <v>20595</v>
      </c>
      <c r="J232" s="7">
        <f t="shared" si="9"/>
        <v>23904</v>
      </c>
      <c r="K232" s="7">
        <f t="shared" si="10"/>
        <v>41190</v>
      </c>
      <c r="L232" s="8">
        <f t="shared" si="11"/>
        <v>17286</v>
      </c>
    </row>
    <row r="233" spans="1:12" x14ac:dyDescent="0.3">
      <c r="A233" s="8" t="s">
        <v>265</v>
      </c>
      <c r="B233" s="9">
        <v>45158</v>
      </c>
      <c r="C233" s="8" t="s">
        <v>12</v>
      </c>
      <c r="D233" s="8" t="s">
        <v>24</v>
      </c>
      <c r="E233" s="8" t="s">
        <v>14</v>
      </c>
      <c r="F233" s="8" t="s">
        <v>15</v>
      </c>
      <c r="G233" s="7">
        <v>4</v>
      </c>
      <c r="H233" s="7">
        <v>19410</v>
      </c>
      <c r="I233" s="7">
        <v>20626</v>
      </c>
      <c r="J233" s="7">
        <f t="shared" si="9"/>
        <v>77640</v>
      </c>
      <c r="K233" s="7">
        <f t="shared" si="10"/>
        <v>82504</v>
      </c>
      <c r="L233" s="8">
        <f t="shared" si="11"/>
        <v>4864</v>
      </c>
    </row>
    <row r="234" spans="1:12" x14ac:dyDescent="0.3">
      <c r="A234" s="8" t="s">
        <v>266</v>
      </c>
      <c r="B234" s="9">
        <v>45159</v>
      </c>
      <c r="C234" s="8" t="s">
        <v>26</v>
      </c>
      <c r="D234" s="8" t="s">
        <v>27</v>
      </c>
      <c r="E234" s="8" t="s">
        <v>18</v>
      </c>
      <c r="F234" s="8" t="s">
        <v>19</v>
      </c>
      <c r="G234" s="7">
        <v>3</v>
      </c>
      <c r="H234" s="7">
        <v>29187</v>
      </c>
      <c r="I234" s="7">
        <v>32082</v>
      </c>
      <c r="J234" s="7">
        <f t="shared" si="9"/>
        <v>87561</v>
      </c>
      <c r="K234" s="7">
        <f t="shared" si="10"/>
        <v>96246</v>
      </c>
      <c r="L234" s="8">
        <f t="shared" si="11"/>
        <v>8685</v>
      </c>
    </row>
    <row r="235" spans="1:12" x14ac:dyDescent="0.3">
      <c r="A235" s="8" t="s">
        <v>267</v>
      </c>
      <c r="B235" s="9">
        <v>45160</v>
      </c>
      <c r="C235" s="8" t="s">
        <v>12</v>
      </c>
      <c r="D235" s="8" t="s">
        <v>21</v>
      </c>
      <c r="E235" s="8" t="s">
        <v>18</v>
      </c>
      <c r="F235" s="8" t="s">
        <v>19</v>
      </c>
      <c r="G235" s="7">
        <v>10</v>
      </c>
      <c r="H235" s="7">
        <v>19042</v>
      </c>
      <c r="I235" s="7">
        <v>21257</v>
      </c>
      <c r="J235" s="7">
        <f t="shared" si="9"/>
        <v>190420</v>
      </c>
      <c r="K235" s="7">
        <f t="shared" si="10"/>
        <v>212570</v>
      </c>
      <c r="L235" s="8">
        <f t="shared" si="11"/>
        <v>22150</v>
      </c>
    </row>
    <row r="236" spans="1:12" x14ac:dyDescent="0.3">
      <c r="A236" s="8" t="s">
        <v>268</v>
      </c>
      <c r="B236" s="9">
        <v>45161</v>
      </c>
      <c r="C236" s="8" t="s">
        <v>16</v>
      </c>
      <c r="D236" s="8" t="s">
        <v>17</v>
      </c>
      <c r="E236" s="8" t="s">
        <v>14</v>
      </c>
      <c r="F236" s="8" t="s">
        <v>22</v>
      </c>
      <c r="G236" s="7">
        <v>7</v>
      </c>
      <c r="H236" s="7">
        <v>16048</v>
      </c>
      <c r="I236" s="7">
        <v>16326</v>
      </c>
      <c r="J236" s="7">
        <f t="shared" si="9"/>
        <v>112336</v>
      </c>
      <c r="K236" s="7">
        <f t="shared" si="10"/>
        <v>114282</v>
      </c>
      <c r="L236" s="8">
        <f t="shared" si="11"/>
        <v>1946</v>
      </c>
    </row>
    <row r="237" spans="1:12" x14ac:dyDescent="0.3">
      <c r="A237" s="8" t="s">
        <v>269</v>
      </c>
      <c r="B237" s="9">
        <v>45162</v>
      </c>
      <c r="C237" s="8" t="s">
        <v>26</v>
      </c>
      <c r="D237" s="8" t="s">
        <v>13</v>
      </c>
      <c r="E237" s="8" t="s">
        <v>14</v>
      </c>
      <c r="F237" s="8" t="s">
        <v>20</v>
      </c>
      <c r="G237" s="7">
        <v>6</v>
      </c>
      <c r="H237" s="7">
        <v>33812</v>
      </c>
      <c r="I237" s="7">
        <v>43263</v>
      </c>
      <c r="J237" s="7">
        <f t="shared" si="9"/>
        <v>202872</v>
      </c>
      <c r="K237" s="7">
        <f t="shared" si="10"/>
        <v>259578</v>
      </c>
      <c r="L237" s="8">
        <f t="shared" si="11"/>
        <v>56706</v>
      </c>
    </row>
    <row r="238" spans="1:12" x14ac:dyDescent="0.3">
      <c r="A238" s="8" t="s">
        <v>270</v>
      </c>
      <c r="B238" s="9">
        <v>45163</v>
      </c>
      <c r="C238" s="8" t="s">
        <v>23</v>
      </c>
      <c r="D238" s="8" t="s">
        <v>27</v>
      </c>
      <c r="E238" s="8" t="s">
        <v>18</v>
      </c>
      <c r="F238" s="8" t="s">
        <v>25</v>
      </c>
      <c r="G238" s="7">
        <v>10</v>
      </c>
      <c r="H238" s="7">
        <v>11329</v>
      </c>
      <c r="I238" s="7">
        <v>11827</v>
      </c>
      <c r="J238" s="7">
        <f t="shared" si="9"/>
        <v>113290</v>
      </c>
      <c r="K238" s="7">
        <f t="shared" si="10"/>
        <v>118270</v>
      </c>
      <c r="L238" s="8">
        <f t="shared" si="11"/>
        <v>4980</v>
      </c>
    </row>
    <row r="239" spans="1:12" x14ac:dyDescent="0.3">
      <c r="A239" s="8" t="s">
        <v>271</v>
      </c>
      <c r="B239" s="9">
        <v>45164</v>
      </c>
      <c r="C239" s="8" t="s">
        <v>12</v>
      </c>
      <c r="D239" s="8" t="s">
        <v>27</v>
      </c>
      <c r="E239" s="8" t="s">
        <v>14</v>
      </c>
      <c r="F239" s="8" t="s">
        <v>15</v>
      </c>
      <c r="G239" s="7">
        <v>9</v>
      </c>
      <c r="H239" s="7">
        <v>14704</v>
      </c>
      <c r="I239" s="7">
        <v>21844</v>
      </c>
      <c r="J239" s="7">
        <f t="shared" si="9"/>
        <v>132336</v>
      </c>
      <c r="K239" s="7">
        <f t="shared" si="10"/>
        <v>196596</v>
      </c>
      <c r="L239" s="8">
        <f t="shared" si="11"/>
        <v>64260</v>
      </c>
    </row>
    <row r="240" spans="1:12" x14ac:dyDescent="0.3">
      <c r="A240" s="8" t="s">
        <v>272</v>
      </c>
      <c r="B240" s="9">
        <v>45165</v>
      </c>
      <c r="C240" s="8" t="s">
        <v>12</v>
      </c>
      <c r="D240" s="8" t="s">
        <v>13</v>
      </c>
      <c r="E240" s="8" t="s">
        <v>18</v>
      </c>
      <c r="F240" s="8" t="s">
        <v>28</v>
      </c>
      <c r="G240" s="7">
        <v>3</v>
      </c>
      <c r="H240" s="7">
        <v>18202</v>
      </c>
      <c r="I240" s="7">
        <v>22196</v>
      </c>
      <c r="J240" s="7">
        <f t="shared" si="9"/>
        <v>54606</v>
      </c>
      <c r="K240" s="7">
        <f t="shared" si="10"/>
        <v>66588</v>
      </c>
      <c r="L240" s="8">
        <f t="shared" si="11"/>
        <v>11982</v>
      </c>
    </row>
    <row r="241" spans="1:12" x14ac:dyDescent="0.3">
      <c r="A241" s="8" t="s">
        <v>273</v>
      </c>
      <c r="B241" s="9">
        <v>45166</v>
      </c>
      <c r="C241" s="8" t="s">
        <v>26</v>
      </c>
      <c r="D241" s="8" t="s">
        <v>17</v>
      </c>
      <c r="E241" s="8" t="s">
        <v>14</v>
      </c>
      <c r="F241" s="8" t="s">
        <v>20</v>
      </c>
      <c r="G241" s="7">
        <v>10</v>
      </c>
      <c r="H241" s="7">
        <v>7238</v>
      </c>
      <c r="I241" s="7">
        <v>9876</v>
      </c>
      <c r="J241" s="7">
        <f t="shared" si="9"/>
        <v>72380</v>
      </c>
      <c r="K241" s="7">
        <f t="shared" si="10"/>
        <v>98760</v>
      </c>
      <c r="L241" s="8">
        <f t="shared" si="11"/>
        <v>26380</v>
      </c>
    </row>
    <row r="242" spans="1:12" x14ac:dyDescent="0.3">
      <c r="A242" s="8" t="s">
        <v>274</v>
      </c>
      <c r="B242" s="9">
        <v>45167</v>
      </c>
      <c r="C242" s="8" t="s">
        <v>12</v>
      </c>
      <c r="D242" s="8" t="s">
        <v>29</v>
      </c>
      <c r="E242" s="8" t="s">
        <v>18</v>
      </c>
      <c r="F242" s="8" t="s">
        <v>25</v>
      </c>
      <c r="G242" s="7">
        <v>4</v>
      </c>
      <c r="H242" s="7">
        <v>27876</v>
      </c>
      <c r="I242" s="7">
        <v>34141</v>
      </c>
      <c r="J242" s="7">
        <f t="shared" si="9"/>
        <v>111504</v>
      </c>
      <c r="K242" s="7">
        <f t="shared" si="10"/>
        <v>136564</v>
      </c>
      <c r="L242" s="8">
        <f t="shared" si="11"/>
        <v>25060</v>
      </c>
    </row>
    <row r="243" spans="1:12" x14ac:dyDescent="0.3">
      <c r="A243" s="8" t="s">
        <v>275</v>
      </c>
      <c r="B243" s="9">
        <v>45168</v>
      </c>
      <c r="C243" s="8" t="s">
        <v>16</v>
      </c>
      <c r="D243" s="8" t="s">
        <v>27</v>
      </c>
      <c r="E243" s="8" t="s">
        <v>18</v>
      </c>
      <c r="F243" s="8" t="s">
        <v>28</v>
      </c>
      <c r="G243" s="7">
        <v>3</v>
      </c>
      <c r="H243" s="7">
        <v>36655</v>
      </c>
      <c r="I243" s="7">
        <v>37015</v>
      </c>
      <c r="J243" s="7">
        <f t="shared" si="9"/>
        <v>109965</v>
      </c>
      <c r="K243" s="7">
        <f t="shared" si="10"/>
        <v>111045</v>
      </c>
      <c r="L243" s="8">
        <f t="shared" si="11"/>
        <v>1080</v>
      </c>
    </row>
    <row r="244" spans="1:12" x14ac:dyDescent="0.3">
      <c r="A244" s="8" t="s">
        <v>276</v>
      </c>
      <c r="B244" s="9">
        <v>45169</v>
      </c>
      <c r="C244" s="8" t="s">
        <v>12</v>
      </c>
      <c r="D244" s="8" t="s">
        <v>24</v>
      </c>
      <c r="E244" s="8" t="s">
        <v>18</v>
      </c>
      <c r="F244" s="8" t="s">
        <v>25</v>
      </c>
      <c r="G244" s="7">
        <v>5</v>
      </c>
      <c r="H244" s="7">
        <v>21165</v>
      </c>
      <c r="I244" s="7">
        <v>22995</v>
      </c>
      <c r="J244" s="7">
        <f t="shared" si="9"/>
        <v>105825</v>
      </c>
      <c r="K244" s="7">
        <f t="shared" si="10"/>
        <v>114975</v>
      </c>
      <c r="L244" s="8">
        <f t="shared" si="11"/>
        <v>9150</v>
      </c>
    </row>
    <row r="245" spans="1:12" x14ac:dyDescent="0.3">
      <c r="A245" s="8" t="s">
        <v>277</v>
      </c>
      <c r="B245" s="9">
        <v>45170</v>
      </c>
      <c r="C245" s="8" t="s">
        <v>16</v>
      </c>
      <c r="D245" s="8" t="s">
        <v>27</v>
      </c>
      <c r="E245" s="8" t="s">
        <v>18</v>
      </c>
      <c r="F245" s="8" t="s">
        <v>19</v>
      </c>
      <c r="G245" s="7">
        <v>7</v>
      </c>
      <c r="H245" s="7">
        <v>7948</v>
      </c>
      <c r="I245" s="7">
        <v>11686</v>
      </c>
      <c r="J245" s="7">
        <f t="shared" si="9"/>
        <v>55636</v>
      </c>
      <c r="K245" s="7">
        <f t="shared" si="10"/>
        <v>81802</v>
      </c>
      <c r="L245" s="8">
        <f t="shared" si="11"/>
        <v>26166</v>
      </c>
    </row>
    <row r="246" spans="1:12" x14ac:dyDescent="0.3">
      <c r="A246" s="8" t="s">
        <v>278</v>
      </c>
      <c r="B246" s="9">
        <v>45171</v>
      </c>
      <c r="C246" s="8" t="s">
        <v>12</v>
      </c>
      <c r="D246" s="8" t="s">
        <v>17</v>
      </c>
      <c r="E246" s="8" t="s">
        <v>14</v>
      </c>
      <c r="F246" s="8" t="s">
        <v>22</v>
      </c>
      <c r="G246" s="7">
        <v>5</v>
      </c>
      <c r="H246" s="7">
        <v>12571</v>
      </c>
      <c r="I246" s="7">
        <v>20774</v>
      </c>
      <c r="J246" s="7">
        <f t="shared" si="9"/>
        <v>62855</v>
      </c>
      <c r="K246" s="7">
        <f t="shared" si="10"/>
        <v>103870</v>
      </c>
      <c r="L246" s="8">
        <f t="shared" si="11"/>
        <v>41015</v>
      </c>
    </row>
    <row r="247" spans="1:12" x14ac:dyDescent="0.3">
      <c r="A247" s="8" t="s">
        <v>279</v>
      </c>
      <c r="B247" s="9">
        <v>45172</v>
      </c>
      <c r="C247" s="8" t="s">
        <v>23</v>
      </c>
      <c r="D247" s="8" t="s">
        <v>24</v>
      </c>
      <c r="E247" s="8" t="s">
        <v>18</v>
      </c>
      <c r="F247" s="8" t="s">
        <v>19</v>
      </c>
      <c r="G247" s="7">
        <v>7</v>
      </c>
      <c r="H247" s="7">
        <v>11880</v>
      </c>
      <c r="I247" s="7">
        <v>12597</v>
      </c>
      <c r="J247" s="7">
        <f t="shared" si="9"/>
        <v>83160</v>
      </c>
      <c r="K247" s="7">
        <f t="shared" si="10"/>
        <v>88179</v>
      </c>
      <c r="L247" s="8">
        <f t="shared" si="11"/>
        <v>5019</v>
      </c>
    </row>
    <row r="248" spans="1:12" x14ac:dyDescent="0.3">
      <c r="A248" s="8" t="s">
        <v>280</v>
      </c>
      <c r="B248" s="9">
        <v>45173</v>
      </c>
      <c r="C248" s="8" t="s">
        <v>16</v>
      </c>
      <c r="D248" s="8" t="s">
        <v>27</v>
      </c>
      <c r="E248" s="8" t="s">
        <v>18</v>
      </c>
      <c r="F248" s="8" t="s">
        <v>25</v>
      </c>
      <c r="G248" s="7">
        <v>4</v>
      </c>
      <c r="H248" s="7">
        <v>14808</v>
      </c>
      <c r="I248" s="7">
        <v>23237</v>
      </c>
      <c r="J248" s="7">
        <f t="shared" si="9"/>
        <v>59232</v>
      </c>
      <c r="K248" s="7">
        <f t="shared" si="10"/>
        <v>92948</v>
      </c>
      <c r="L248" s="8">
        <f t="shared" si="11"/>
        <v>33716</v>
      </c>
    </row>
    <row r="249" spans="1:12" x14ac:dyDescent="0.3">
      <c r="A249" s="8" t="s">
        <v>281</v>
      </c>
      <c r="B249" s="9">
        <v>45174</v>
      </c>
      <c r="C249" s="8" t="s">
        <v>12</v>
      </c>
      <c r="D249" s="8" t="s">
        <v>29</v>
      </c>
      <c r="E249" s="8" t="s">
        <v>14</v>
      </c>
      <c r="F249" s="8" t="s">
        <v>20</v>
      </c>
      <c r="G249" s="7">
        <v>9</v>
      </c>
      <c r="H249" s="7">
        <v>14728</v>
      </c>
      <c r="I249" s="7">
        <v>19569</v>
      </c>
      <c r="J249" s="7">
        <f t="shared" si="9"/>
        <v>132552</v>
      </c>
      <c r="K249" s="7">
        <f t="shared" si="10"/>
        <v>176121</v>
      </c>
      <c r="L249" s="8">
        <f t="shared" si="11"/>
        <v>43569</v>
      </c>
    </row>
    <row r="250" spans="1:12" x14ac:dyDescent="0.3">
      <c r="A250" s="8" t="s">
        <v>282</v>
      </c>
      <c r="B250" s="9">
        <v>45175</v>
      </c>
      <c r="C250" s="8" t="s">
        <v>26</v>
      </c>
      <c r="D250" s="8" t="s">
        <v>29</v>
      </c>
      <c r="E250" s="8" t="s">
        <v>18</v>
      </c>
      <c r="F250" s="8" t="s">
        <v>28</v>
      </c>
      <c r="G250" s="7">
        <v>10</v>
      </c>
      <c r="H250" s="7">
        <v>21577</v>
      </c>
      <c r="I250" s="7">
        <v>24858</v>
      </c>
      <c r="J250" s="7">
        <f t="shared" si="9"/>
        <v>215770</v>
      </c>
      <c r="K250" s="7">
        <f t="shared" si="10"/>
        <v>248580</v>
      </c>
      <c r="L250" s="8">
        <f t="shared" si="11"/>
        <v>32810</v>
      </c>
    </row>
    <row r="251" spans="1:12" x14ac:dyDescent="0.3">
      <c r="A251" s="8" t="s">
        <v>283</v>
      </c>
      <c r="B251" s="9">
        <v>45176</v>
      </c>
      <c r="C251" s="8" t="s">
        <v>26</v>
      </c>
      <c r="D251" s="8" t="s">
        <v>21</v>
      </c>
      <c r="E251" s="8" t="s">
        <v>14</v>
      </c>
      <c r="F251" s="8" t="s">
        <v>22</v>
      </c>
      <c r="G251" s="7">
        <v>1</v>
      </c>
      <c r="H251" s="7">
        <v>20680</v>
      </c>
      <c r="I251" s="7">
        <v>24395</v>
      </c>
      <c r="J251" s="7">
        <f t="shared" si="9"/>
        <v>20680</v>
      </c>
      <c r="K251" s="7">
        <f t="shared" si="10"/>
        <v>24395</v>
      </c>
      <c r="L251" s="8">
        <f t="shared" si="11"/>
        <v>3715</v>
      </c>
    </row>
    <row r="252" spans="1:12" x14ac:dyDescent="0.3">
      <c r="A252" s="8" t="s">
        <v>284</v>
      </c>
      <c r="B252" s="9">
        <v>45177</v>
      </c>
      <c r="C252" s="8" t="s">
        <v>26</v>
      </c>
      <c r="D252" s="8" t="s">
        <v>21</v>
      </c>
      <c r="E252" s="8" t="s">
        <v>18</v>
      </c>
      <c r="F252" s="8" t="s">
        <v>19</v>
      </c>
      <c r="G252" s="7">
        <v>4</v>
      </c>
      <c r="H252" s="7">
        <v>2704</v>
      </c>
      <c r="I252" s="7">
        <v>3473</v>
      </c>
      <c r="J252" s="7">
        <f t="shared" si="9"/>
        <v>10816</v>
      </c>
      <c r="K252" s="7">
        <f t="shared" si="10"/>
        <v>13892</v>
      </c>
      <c r="L252" s="8">
        <f t="shared" si="11"/>
        <v>3076</v>
      </c>
    </row>
    <row r="253" spans="1:12" x14ac:dyDescent="0.3">
      <c r="A253" s="8" t="s">
        <v>285</v>
      </c>
      <c r="B253" s="9">
        <v>45178</v>
      </c>
      <c r="C253" s="8" t="s">
        <v>26</v>
      </c>
      <c r="D253" s="8" t="s">
        <v>21</v>
      </c>
      <c r="E253" s="8" t="s">
        <v>18</v>
      </c>
      <c r="F253" s="8" t="s">
        <v>28</v>
      </c>
      <c r="G253" s="7">
        <v>4</v>
      </c>
      <c r="H253" s="7">
        <v>6904</v>
      </c>
      <c r="I253" s="7">
        <v>9856</v>
      </c>
      <c r="J253" s="7">
        <f t="shared" si="9"/>
        <v>27616</v>
      </c>
      <c r="K253" s="7">
        <f t="shared" si="10"/>
        <v>39424</v>
      </c>
      <c r="L253" s="8">
        <f t="shared" si="11"/>
        <v>11808</v>
      </c>
    </row>
    <row r="254" spans="1:12" x14ac:dyDescent="0.3">
      <c r="A254" s="8" t="s">
        <v>286</v>
      </c>
      <c r="B254" s="9">
        <v>45179</v>
      </c>
      <c r="C254" s="8" t="s">
        <v>12</v>
      </c>
      <c r="D254" s="8" t="s">
        <v>29</v>
      </c>
      <c r="E254" s="8" t="s">
        <v>18</v>
      </c>
      <c r="F254" s="8" t="s">
        <v>28</v>
      </c>
      <c r="G254" s="7">
        <v>6</v>
      </c>
      <c r="H254" s="7">
        <v>30008</v>
      </c>
      <c r="I254" s="7">
        <v>35165</v>
      </c>
      <c r="J254" s="7">
        <f t="shared" si="9"/>
        <v>180048</v>
      </c>
      <c r="K254" s="7">
        <f t="shared" si="10"/>
        <v>210990</v>
      </c>
      <c r="L254" s="8">
        <f t="shared" si="11"/>
        <v>30942</v>
      </c>
    </row>
    <row r="255" spans="1:12" x14ac:dyDescent="0.3">
      <c r="A255" s="8" t="s">
        <v>287</v>
      </c>
      <c r="B255" s="9">
        <v>45180</v>
      </c>
      <c r="C255" s="8" t="s">
        <v>12</v>
      </c>
      <c r="D255" s="8" t="s">
        <v>29</v>
      </c>
      <c r="E255" s="8" t="s">
        <v>14</v>
      </c>
      <c r="F255" s="8" t="s">
        <v>22</v>
      </c>
      <c r="G255" s="7">
        <v>1</v>
      </c>
      <c r="H255" s="7">
        <v>17893</v>
      </c>
      <c r="I255" s="7">
        <v>20233</v>
      </c>
      <c r="J255" s="7">
        <f t="shared" si="9"/>
        <v>17893</v>
      </c>
      <c r="K255" s="7">
        <f t="shared" si="10"/>
        <v>20233</v>
      </c>
      <c r="L255" s="8">
        <f t="shared" si="11"/>
        <v>2340</v>
      </c>
    </row>
    <row r="256" spans="1:12" x14ac:dyDescent="0.3">
      <c r="A256" s="8" t="s">
        <v>288</v>
      </c>
      <c r="B256" s="9">
        <v>45181</v>
      </c>
      <c r="C256" s="8" t="s">
        <v>26</v>
      </c>
      <c r="D256" s="8" t="s">
        <v>13</v>
      </c>
      <c r="E256" s="8" t="s">
        <v>14</v>
      </c>
      <c r="F256" s="8" t="s">
        <v>20</v>
      </c>
      <c r="G256" s="7">
        <v>1</v>
      </c>
      <c r="H256" s="7">
        <v>39831</v>
      </c>
      <c r="I256" s="7">
        <v>40281</v>
      </c>
      <c r="J256" s="7">
        <f t="shared" si="9"/>
        <v>39831</v>
      </c>
      <c r="K256" s="7">
        <f t="shared" si="10"/>
        <v>40281</v>
      </c>
      <c r="L256" s="8">
        <f t="shared" si="11"/>
        <v>450</v>
      </c>
    </row>
    <row r="257" spans="1:12" x14ac:dyDescent="0.3">
      <c r="A257" s="8" t="s">
        <v>289</v>
      </c>
      <c r="B257" s="9">
        <v>45182</v>
      </c>
      <c r="C257" s="8" t="s">
        <v>23</v>
      </c>
      <c r="D257" s="8" t="s">
        <v>21</v>
      </c>
      <c r="E257" s="8" t="s">
        <v>18</v>
      </c>
      <c r="F257" s="8" t="s">
        <v>19</v>
      </c>
      <c r="G257" s="7">
        <v>9</v>
      </c>
      <c r="H257" s="7">
        <v>12809</v>
      </c>
      <c r="I257" s="7">
        <v>14722</v>
      </c>
      <c r="J257" s="7">
        <f t="shared" si="9"/>
        <v>115281</v>
      </c>
      <c r="K257" s="7">
        <f t="shared" si="10"/>
        <v>132498</v>
      </c>
      <c r="L257" s="8">
        <f t="shared" si="11"/>
        <v>17217</v>
      </c>
    </row>
    <row r="258" spans="1:12" x14ac:dyDescent="0.3">
      <c r="A258" s="8" t="s">
        <v>290</v>
      </c>
      <c r="B258" s="9">
        <v>45183</v>
      </c>
      <c r="C258" s="8" t="s">
        <v>12</v>
      </c>
      <c r="D258" s="8" t="s">
        <v>21</v>
      </c>
      <c r="E258" s="8" t="s">
        <v>18</v>
      </c>
      <c r="F258" s="8" t="s">
        <v>25</v>
      </c>
      <c r="G258" s="7">
        <v>3</v>
      </c>
      <c r="H258" s="7">
        <v>27763</v>
      </c>
      <c r="I258" s="7">
        <v>31969</v>
      </c>
      <c r="J258" s="7">
        <f t="shared" si="9"/>
        <v>83289</v>
      </c>
      <c r="K258" s="7">
        <f t="shared" si="10"/>
        <v>95907</v>
      </c>
      <c r="L258" s="8">
        <f t="shared" si="11"/>
        <v>12618</v>
      </c>
    </row>
    <row r="259" spans="1:12" x14ac:dyDescent="0.3">
      <c r="A259" s="8" t="s">
        <v>291</v>
      </c>
      <c r="B259" s="9">
        <v>45184</v>
      </c>
      <c r="C259" s="8" t="s">
        <v>23</v>
      </c>
      <c r="D259" s="8" t="s">
        <v>27</v>
      </c>
      <c r="E259" s="8" t="s">
        <v>18</v>
      </c>
      <c r="F259" s="8" t="s">
        <v>28</v>
      </c>
      <c r="G259" s="7">
        <v>7</v>
      </c>
      <c r="H259" s="7">
        <v>28576</v>
      </c>
      <c r="I259" s="7">
        <v>33522</v>
      </c>
      <c r="J259" s="7">
        <f t="shared" ref="J259:J322" si="12">G259*H259</f>
        <v>200032</v>
      </c>
      <c r="K259" s="7">
        <f t="shared" ref="K259:K322" si="13">G259*I259</f>
        <v>234654</v>
      </c>
      <c r="L259" s="8">
        <f t="shared" ref="L259:L322" si="14">(I259-H259)*G259</f>
        <v>34622</v>
      </c>
    </row>
    <row r="260" spans="1:12" x14ac:dyDescent="0.3">
      <c r="A260" s="8" t="s">
        <v>292</v>
      </c>
      <c r="B260" s="9">
        <v>45185</v>
      </c>
      <c r="C260" s="8" t="s">
        <v>16</v>
      </c>
      <c r="D260" s="8" t="s">
        <v>29</v>
      </c>
      <c r="E260" s="8" t="s">
        <v>18</v>
      </c>
      <c r="F260" s="8" t="s">
        <v>25</v>
      </c>
      <c r="G260" s="7">
        <v>2</v>
      </c>
      <c r="H260" s="7">
        <v>1097</v>
      </c>
      <c r="I260" s="7">
        <v>1409</v>
      </c>
      <c r="J260" s="7">
        <f t="shared" si="12"/>
        <v>2194</v>
      </c>
      <c r="K260" s="7">
        <f t="shared" si="13"/>
        <v>2818</v>
      </c>
      <c r="L260" s="8">
        <f t="shared" si="14"/>
        <v>624</v>
      </c>
    </row>
    <row r="261" spans="1:12" x14ac:dyDescent="0.3">
      <c r="A261" s="8" t="s">
        <v>293</v>
      </c>
      <c r="B261" s="9">
        <v>45186</v>
      </c>
      <c r="C261" s="8" t="s">
        <v>26</v>
      </c>
      <c r="D261" s="8" t="s">
        <v>21</v>
      </c>
      <c r="E261" s="8" t="s">
        <v>18</v>
      </c>
      <c r="F261" s="8" t="s">
        <v>19</v>
      </c>
      <c r="G261" s="7">
        <v>2</v>
      </c>
      <c r="H261" s="7">
        <v>2084</v>
      </c>
      <c r="I261" s="7">
        <v>6054</v>
      </c>
      <c r="J261" s="7">
        <f t="shared" si="12"/>
        <v>4168</v>
      </c>
      <c r="K261" s="7">
        <f t="shared" si="13"/>
        <v>12108</v>
      </c>
      <c r="L261" s="8">
        <f t="shared" si="14"/>
        <v>7940</v>
      </c>
    </row>
    <row r="262" spans="1:12" x14ac:dyDescent="0.3">
      <c r="A262" s="8" t="s">
        <v>294</v>
      </c>
      <c r="B262" s="9">
        <v>45187</v>
      </c>
      <c r="C262" s="8" t="s">
        <v>16</v>
      </c>
      <c r="D262" s="8" t="s">
        <v>29</v>
      </c>
      <c r="E262" s="8" t="s">
        <v>14</v>
      </c>
      <c r="F262" s="8" t="s">
        <v>22</v>
      </c>
      <c r="G262" s="7">
        <v>7</v>
      </c>
      <c r="H262" s="7">
        <v>28168</v>
      </c>
      <c r="I262" s="7">
        <v>35566</v>
      </c>
      <c r="J262" s="7">
        <f t="shared" si="12"/>
        <v>197176</v>
      </c>
      <c r="K262" s="7">
        <f t="shared" si="13"/>
        <v>248962</v>
      </c>
      <c r="L262" s="8">
        <f t="shared" si="14"/>
        <v>51786</v>
      </c>
    </row>
    <row r="263" spans="1:12" x14ac:dyDescent="0.3">
      <c r="A263" s="8" t="s">
        <v>295</v>
      </c>
      <c r="B263" s="9">
        <v>45188</v>
      </c>
      <c r="C263" s="8" t="s">
        <v>26</v>
      </c>
      <c r="D263" s="8" t="s">
        <v>29</v>
      </c>
      <c r="E263" s="8" t="s">
        <v>18</v>
      </c>
      <c r="F263" s="8" t="s">
        <v>19</v>
      </c>
      <c r="G263" s="7">
        <v>6</v>
      </c>
      <c r="H263" s="7">
        <v>26880</v>
      </c>
      <c r="I263" s="7">
        <v>27786</v>
      </c>
      <c r="J263" s="7">
        <f t="shared" si="12"/>
        <v>161280</v>
      </c>
      <c r="K263" s="7">
        <f t="shared" si="13"/>
        <v>166716</v>
      </c>
      <c r="L263" s="8">
        <f t="shared" si="14"/>
        <v>5436</v>
      </c>
    </row>
    <row r="264" spans="1:12" x14ac:dyDescent="0.3">
      <c r="A264" s="8" t="s">
        <v>296</v>
      </c>
      <c r="B264" s="9">
        <v>45189</v>
      </c>
      <c r="C264" s="8" t="s">
        <v>16</v>
      </c>
      <c r="D264" s="8" t="s">
        <v>27</v>
      </c>
      <c r="E264" s="8" t="s">
        <v>14</v>
      </c>
      <c r="F264" s="8" t="s">
        <v>20</v>
      </c>
      <c r="G264" s="7">
        <v>6</v>
      </c>
      <c r="H264" s="7">
        <v>19539</v>
      </c>
      <c r="I264" s="7">
        <v>25185</v>
      </c>
      <c r="J264" s="7">
        <f t="shared" si="12"/>
        <v>117234</v>
      </c>
      <c r="K264" s="7">
        <f t="shared" si="13"/>
        <v>151110</v>
      </c>
      <c r="L264" s="8">
        <f t="shared" si="14"/>
        <v>33876</v>
      </c>
    </row>
    <row r="265" spans="1:12" x14ac:dyDescent="0.3">
      <c r="A265" s="8" t="s">
        <v>297</v>
      </c>
      <c r="B265" s="9">
        <v>45190</v>
      </c>
      <c r="C265" s="8" t="s">
        <v>12</v>
      </c>
      <c r="D265" s="8" t="s">
        <v>29</v>
      </c>
      <c r="E265" s="8" t="s">
        <v>14</v>
      </c>
      <c r="F265" s="8" t="s">
        <v>20</v>
      </c>
      <c r="G265" s="7">
        <v>7</v>
      </c>
      <c r="H265" s="7">
        <v>14245</v>
      </c>
      <c r="I265" s="7">
        <v>23063</v>
      </c>
      <c r="J265" s="7">
        <f t="shared" si="12"/>
        <v>99715</v>
      </c>
      <c r="K265" s="7">
        <f t="shared" si="13"/>
        <v>161441</v>
      </c>
      <c r="L265" s="8">
        <f t="shared" si="14"/>
        <v>61726</v>
      </c>
    </row>
    <row r="266" spans="1:12" x14ac:dyDescent="0.3">
      <c r="A266" s="8" t="s">
        <v>298</v>
      </c>
      <c r="B266" s="9">
        <v>45191</v>
      </c>
      <c r="C266" s="8" t="s">
        <v>26</v>
      </c>
      <c r="D266" s="8" t="s">
        <v>13</v>
      </c>
      <c r="E266" s="8" t="s">
        <v>18</v>
      </c>
      <c r="F266" s="8" t="s">
        <v>25</v>
      </c>
      <c r="G266" s="7">
        <v>8</v>
      </c>
      <c r="H266" s="7">
        <v>23772</v>
      </c>
      <c r="I266" s="7">
        <v>30025</v>
      </c>
      <c r="J266" s="7">
        <f t="shared" si="12"/>
        <v>190176</v>
      </c>
      <c r="K266" s="7">
        <f t="shared" si="13"/>
        <v>240200</v>
      </c>
      <c r="L266" s="8">
        <f t="shared" si="14"/>
        <v>50024</v>
      </c>
    </row>
    <row r="267" spans="1:12" x14ac:dyDescent="0.3">
      <c r="A267" s="8" t="s">
        <v>299</v>
      </c>
      <c r="B267" s="9">
        <v>45192</v>
      </c>
      <c r="C267" s="8" t="s">
        <v>26</v>
      </c>
      <c r="D267" s="8" t="s">
        <v>24</v>
      </c>
      <c r="E267" s="8" t="s">
        <v>18</v>
      </c>
      <c r="F267" s="8" t="s">
        <v>28</v>
      </c>
      <c r="G267" s="7">
        <v>8</v>
      </c>
      <c r="H267" s="7">
        <v>31735</v>
      </c>
      <c r="I267" s="7">
        <v>38965</v>
      </c>
      <c r="J267" s="7">
        <f t="shared" si="12"/>
        <v>253880</v>
      </c>
      <c r="K267" s="7">
        <f t="shared" si="13"/>
        <v>311720</v>
      </c>
      <c r="L267" s="8">
        <f t="shared" si="14"/>
        <v>57840</v>
      </c>
    </row>
    <row r="268" spans="1:12" x14ac:dyDescent="0.3">
      <c r="A268" s="8" t="s">
        <v>300</v>
      </c>
      <c r="B268" s="9">
        <v>45193</v>
      </c>
      <c r="C268" s="8" t="s">
        <v>26</v>
      </c>
      <c r="D268" s="8" t="s">
        <v>27</v>
      </c>
      <c r="E268" s="8" t="s">
        <v>14</v>
      </c>
      <c r="F268" s="8" t="s">
        <v>22</v>
      </c>
      <c r="G268" s="7">
        <v>8</v>
      </c>
      <c r="H268" s="7">
        <v>18190</v>
      </c>
      <c r="I268" s="7">
        <v>27524</v>
      </c>
      <c r="J268" s="7">
        <f t="shared" si="12"/>
        <v>145520</v>
      </c>
      <c r="K268" s="7">
        <f t="shared" si="13"/>
        <v>220192</v>
      </c>
      <c r="L268" s="8">
        <f t="shared" si="14"/>
        <v>74672</v>
      </c>
    </row>
    <row r="269" spans="1:12" x14ac:dyDescent="0.3">
      <c r="A269" s="8" t="s">
        <v>301</v>
      </c>
      <c r="B269" s="9">
        <v>45194</v>
      </c>
      <c r="C269" s="8" t="s">
        <v>23</v>
      </c>
      <c r="D269" s="8" t="s">
        <v>27</v>
      </c>
      <c r="E269" s="8" t="s">
        <v>14</v>
      </c>
      <c r="F269" s="8" t="s">
        <v>15</v>
      </c>
      <c r="G269" s="7">
        <v>8</v>
      </c>
      <c r="H269" s="7">
        <v>23890</v>
      </c>
      <c r="I269" s="7">
        <v>25127</v>
      </c>
      <c r="J269" s="7">
        <f t="shared" si="12"/>
        <v>191120</v>
      </c>
      <c r="K269" s="7">
        <f t="shared" si="13"/>
        <v>201016</v>
      </c>
      <c r="L269" s="8">
        <f t="shared" si="14"/>
        <v>9896</v>
      </c>
    </row>
    <row r="270" spans="1:12" x14ac:dyDescent="0.3">
      <c r="A270" s="8" t="s">
        <v>302</v>
      </c>
      <c r="B270" s="9">
        <v>45195</v>
      </c>
      <c r="C270" s="8" t="s">
        <v>12</v>
      </c>
      <c r="D270" s="8" t="s">
        <v>13</v>
      </c>
      <c r="E270" s="8" t="s">
        <v>18</v>
      </c>
      <c r="F270" s="8" t="s">
        <v>28</v>
      </c>
      <c r="G270" s="7">
        <v>2</v>
      </c>
      <c r="H270" s="7">
        <v>21937</v>
      </c>
      <c r="I270" s="7">
        <v>27167</v>
      </c>
      <c r="J270" s="7">
        <f t="shared" si="12"/>
        <v>43874</v>
      </c>
      <c r="K270" s="7">
        <f t="shared" si="13"/>
        <v>54334</v>
      </c>
      <c r="L270" s="8">
        <f t="shared" si="14"/>
        <v>10460</v>
      </c>
    </row>
    <row r="271" spans="1:12" x14ac:dyDescent="0.3">
      <c r="A271" s="8" t="s">
        <v>303</v>
      </c>
      <c r="B271" s="9">
        <v>45196</v>
      </c>
      <c r="C271" s="8" t="s">
        <v>23</v>
      </c>
      <c r="D271" s="8" t="s">
        <v>24</v>
      </c>
      <c r="E271" s="8" t="s">
        <v>14</v>
      </c>
      <c r="F271" s="8" t="s">
        <v>20</v>
      </c>
      <c r="G271" s="7">
        <v>6</v>
      </c>
      <c r="H271" s="7">
        <v>10480</v>
      </c>
      <c r="I271" s="7">
        <v>14377</v>
      </c>
      <c r="J271" s="7">
        <f t="shared" si="12"/>
        <v>62880</v>
      </c>
      <c r="K271" s="7">
        <f t="shared" si="13"/>
        <v>86262</v>
      </c>
      <c r="L271" s="8">
        <f t="shared" si="14"/>
        <v>23382</v>
      </c>
    </row>
    <row r="272" spans="1:12" x14ac:dyDescent="0.3">
      <c r="A272" s="8" t="s">
        <v>304</v>
      </c>
      <c r="B272" s="9">
        <v>45197</v>
      </c>
      <c r="C272" s="8" t="s">
        <v>26</v>
      </c>
      <c r="D272" s="8" t="s">
        <v>21</v>
      </c>
      <c r="E272" s="8" t="s">
        <v>14</v>
      </c>
      <c r="F272" s="8" t="s">
        <v>15</v>
      </c>
      <c r="G272" s="7">
        <v>5</v>
      </c>
      <c r="H272" s="7">
        <v>33063</v>
      </c>
      <c r="I272" s="7">
        <v>34834</v>
      </c>
      <c r="J272" s="7">
        <f t="shared" si="12"/>
        <v>165315</v>
      </c>
      <c r="K272" s="7">
        <f t="shared" si="13"/>
        <v>174170</v>
      </c>
      <c r="L272" s="8">
        <f t="shared" si="14"/>
        <v>8855</v>
      </c>
    </row>
    <row r="273" spans="1:12" x14ac:dyDescent="0.3">
      <c r="A273" s="8" t="s">
        <v>305</v>
      </c>
      <c r="B273" s="9">
        <v>45198</v>
      </c>
      <c r="C273" s="8" t="s">
        <v>23</v>
      </c>
      <c r="D273" s="8" t="s">
        <v>17</v>
      </c>
      <c r="E273" s="8" t="s">
        <v>14</v>
      </c>
      <c r="F273" s="8" t="s">
        <v>20</v>
      </c>
      <c r="G273" s="7">
        <v>8</v>
      </c>
      <c r="H273" s="7">
        <v>24874</v>
      </c>
      <c r="I273" s="7">
        <v>34652</v>
      </c>
      <c r="J273" s="7">
        <f t="shared" si="12"/>
        <v>198992</v>
      </c>
      <c r="K273" s="7">
        <f t="shared" si="13"/>
        <v>277216</v>
      </c>
      <c r="L273" s="8">
        <f t="shared" si="14"/>
        <v>78224</v>
      </c>
    </row>
    <row r="274" spans="1:12" x14ac:dyDescent="0.3">
      <c r="A274" s="8" t="s">
        <v>306</v>
      </c>
      <c r="B274" s="9">
        <v>45199</v>
      </c>
      <c r="C274" s="8" t="s">
        <v>12</v>
      </c>
      <c r="D274" s="8" t="s">
        <v>24</v>
      </c>
      <c r="E274" s="8" t="s">
        <v>14</v>
      </c>
      <c r="F274" s="8" t="s">
        <v>22</v>
      </c>
      <c r="G274" s="7">
        <v>5</v>
      </c>
      <c r="H274" s="7">
        <v>38985</v>
      </c>
      <c r="I274" s="7">
        <v>46351</v>
      </c>
      <c r="J274" s="7">
        <f t="shared" si="12"/>
        <v>194925</v>
      </c>
      <c r="K274" s="7">
        <f t="shared" si="13"/>
        <v>231755</v>
      </c>
      <c r="L274" s="8">
        <f t="shared" si="14"/>
        <v>36830</v>
      </c>
    </row>
    <row r="275" spans="1:12" x14ac:dyDescent="0.3">
      <c r="A275" s="8" t="s">
        <v>307</v>
      </c>
      <c r="B275" s="9">
        <v>45200</v>
      </c>
      <c r="C275" s="8" t="s">
        <v>26</v>
      </c>
      <c r="D275" s="8" t="s">
        <v>13</v>
      </c>
      <c r="E275" s="8" t="s">
        <v>14</v>
      </c>
      <c r="F275" s="8" t="s">
        <v>22</v>
      </c>
      <c r="G275" s="7">
        <v>3</v>
      </c>
      <c r="H275" s="7">
        <v>11093</v>
      </c>
      <c r="I275" s="7">
        <v>19996</v>
      </c>
      <c r="J275" s="7">
        <f t="shared" si="12"/>
        <v>33279</v>
      </c>
      <c r="K275" s="7">
        <f t="shared" si="13"/>
        <v>59988</v>
      </c>
      <c r="L275" s="8">
        <f t="shared" si="14"/>
        <v>26709</v>
      </c>
    </row>
    <row r="276" spans="1:12" x14ac:dyDescent="0.3">
      <c r="A276" s="8" t="s">
        <v>308</v>
      </c>
      <c r="B276" s="9">
        <v>45201</v>
      </c>
      <c r="C276" s="8" t="s">
        <v>26</v>
      </c>
      <c r="D276" s="8" t="s">
        <v>13</v>
      </c>
      <c r="E276" s="8" t="s">
        <v>14</v>
      </c>
      <c r="F276" s="8" t="s">
        <v>22</v>
      </c>
      <c r="G276" s="7">
        <v>4</v>
      </c>
      <c r="H276" s="7">
        <v>10479</v>
      </c>
      <c r="I276" s="7">
        <v>14923</v>
      </c>
      <c r="J276" s="7">
        <f t="shared" si="12"/>
        <v>41916</v>
      </c>
      <c r="K276" s="7">
        <f t="shared" si="13"/>
        <v>59692</v>
      </c>
      <c r="L276" s="8">
        <f t="shared" si="14"/>
        <v>17776</v>
      </c>
    </row>
    <row r="277" spans="1:12" x14ac:dyDescent="0.3">
      <c r="A277" s="8" t="s">
        <v>309</v>
      </c>
      <c r="B277" s="9">
        <v>45202</v>
      </c>
      <c r="C277" s="8" t="s">
        <v>26</v>
      </c>
      <c r="D277" s="8" t="s">
        <v>17</v>
      </c>
      <c r="E277" s="8" t="s">
        <v>18</v>
      </c>
      <c r="F277" s="8" t="s">
        <v>25</v>
      </c>
      <c r="G277" s="7">
        <v>5</v>
      </c>
      <c r="H277" s="7">
        <v>28226</v>
      </c>
      <c r="I277" s="7">
        <v>32321</v>
      </c>
      <c r="J277" s="7">
        <f t="shared" si="12"/>
        <v>141130</v>
      </c>
      <c r="K277" s="7">
        <f t="shared" si="13"/>
        <v>161605</v>
      </c>
      <c r="L277" s="8">
        <f t="shared" si="14"/>
        <v>20475</v>
      </c>
    </row>
    <row r="278" spans="1:12" x14ac:dyDescent="0.3">
      <c r="A278" s="8" t="s">
        <v>310</v>
      </c>
      <c r="B278" s="9">
        <v>45203</v>
      </c>
      <c r="C278" s="8" t="s">
        <v>16</v>
      </c>
      <c r="D278" s="8" t="s">
        <v>21</v>
      </c>
      <c r="E278" s="8" t="s">
        <v>14</v>
      </c>
      <c r="F278" s="8" t="s">
        <v>20</v>
      </c>
      <c r="G278" s="7">
        <v>1</v>
      </c>
      <c r="H278" s="7">
        <v>24323</v>
      </c>
      <c r="I278" s="7">
        <v>25653</v>
      </c>
      <c r="J278" s="7">
        <f t="shared" si="12"/>
        <v>24323</v>
      </c>
      <c r="K278" s="7">
        <f t="shared" si="13"/>
        <v>25653</v>
      </c>
      <c r="L278" s="8">
        <f t="shared" si="14"/>
        <v>1330</v>
      </c>
    </row>
    <row r="279" spans="1:12" x14ac:dyDescent="0.3">
      <c r="A279" s="8" t="s">
        <v>311</v>
      </c>
      <c r="B279" s="9">
        <v>45204</v>
      </c>
      <c r="C279" s="8" t="s">
        <v>16</v>
      </c>
      <c r="D279" s="8" t="s">
        <v>21</v>
      </c>
      <c r="E279" s="8" t="s">
        <v>18</v>
      </c>
      <c r="F279" s="8" t="s">
        <v>19</v>
      </c>
      <c r="G279" s="7">
        <v>8</v>
      </c>
      <c r="H279" s="7">
        <v>21117</v>
      </c>
      <c r="I279" s="7">
        <v>23532</v>
      </c>
      <c r="J279" s="7">
        <f t="shared" si="12"/>
        <v>168936</v>
      </c>
      <c r="K279" s="7">
        <f t="shared" si="13"/>
        <v>188256</v>
      </c>
      <c r="L279" s="8">
        <f t="shared" si="14"/>
        <v>19320</v>
      </c>
    </row>
    <row r="280" spans="1:12" x14ac:dyDescent="0.3">
      <c r="A280" s="8" t="s">
        <v>312</v>
      </c>
      <c r="B280" s="9">
        <v>45205</v>
      </c>
      <c r="C280" s="8" t="s">
        <v>16</v>
      </c>
      <c r="D280" s="8" t="s">
        <v>13</v>
      </c>
      <c r="E280" s="8" t="s">
        <v>14</v>
      </c>
      <c r="F280" s="8" t="s">
        <v>22</v>
      </c>
      <c r="G280" s="7">
        <v>7</v>
      </c>
      <c r="H280" s="7">
        <v>30286</v>
      </c>
      <c r="I280" s="7">
        <v>39023</v>
      </c>
      <c r="J280" s="7">
        <f t="shared" si="12"/>
        <v>212002</v>
      </c>
      <c r="K280" s="7">
        <f t="shared" si="13"/>
        <v>273161</v>
      </c>
      <c r="L280" s="8">
        <f t="shared" si="14"/>
        <v>61159</v>
      </c>
    </row>
    <row r="281" spans="1:12" x14ac:dyDescent="0.3">
      <c r="A281" s="8" t="s">
        <v>313</v>
      </c>
      <c r="B281" s="9">
        <v>45206</v>
      </c>
      <c r="C281" s="8" t="s">
        <v>12</v>
      </c>
      <c r="D281" s="8" t="s">
        <v>24</v>
      </c>
      <c r="E281" s="8" t="s">
        <v>14</v>
      </c>
      <c r="F281" s="8" t="s">
        <v>22</v>
      </c>
      <c r="G281" s="7">
        <v>7</v>
      </c>
      <c r="H281" s="7">
        <v>4617</v>
      </c>
      <c r="I281" s="7">
        <v>5987</v>
      </c>
      <c r="J281" s="7">
        <f t="shared" si="12"/>
        <v>32319</v>
      </c>
      <c r="K281" s="7">
        <f t="shared" si="13"/>
        <v>41909</v>
      </c>
      <c r="L281" s="8">
        <f t="shared" si="14"/>
        <v>9590</v>
      </c>
    </row>
    <row r="282" spans="1:12" x14ac:dyDescent="0.3">
      <c r="A282" s="8" t="s">
        <v>314</v>
      </c>
      <c r="B282" s="9">
        <v>45207</v>
      </c>
      <c r="C282" s="8" t="s">
        <v>16</v>
      </c>
      <c r="D282" s="8" t="s">
        <v>27</v>
      </c>
      <c r="E282" s="8" t="s">
        <v>14</v>
      </c>
      <c r="F282" s="8" t="s">
        <v>20</v>
      </c>
      <c r="G282" s="7">
        <v>9</v>
      </c>
      <c r="H282" s="7">
        <v>35378</v>
      </c>
      <c r="I282" s="7">
        <v>44624</v>
      </c>
      <c r="J282" s="7">
        <f t="shared" si="12"/>
        <v>318402</v>
      </c>
      <c r="K282" s="7">
        <f t="shared" si="13"/>
        <v>401616</v>
      </c>
      <c r="L282" s="8">
        <f t="shared" si="14"/>
        <v>83214</v>
      </c>
    </row>
    <row r="283" spans="1:12" x14ac:dyDescent="0.3">
      <c r="A283" s="8" t="s">
        <v>315</v>
      </c>
      <c r="B283" s="9">
        <v>45208</v>
      </c>
      <c r="C283" s="8" t="s">
        <v>26</v>
      </c>
      <c r="D283" s="8" t="s">
        <v>29</v>
      </c>
      <c r="E283" s="8" t="s">
        <v>18</v>
      </c>
      <c r="F283" s="8" t="s">
        <v>19</v>
      </c>
      <c r="G283" s="7">
        <v>8</v>
      </c>
      <c r="H283" s="7">
        <v>15904</v>
      </c>
      <c r="I283" s="7">
        <v>23786</v>
      </c>
      <c r="J283" s="7">
        <f t="shared" si="12"/>
        <v>127232</v>
      </c>
      <c r="K283" s="7">
        <f t="shared" si="13"/>
        <v>190288</v>
      </c>
      <c r="L283" s="8">
        <f t="shared" si="14"/>
        <v>63056</v>
      </c>
    </row>
    <row r="284" spans="1:12" x14ac:dyDescent="0.3">
      <c r="A284" s="8" t="s">
        <v>316</v>
      </c>
      <c r="B284" s="9">
        <v>45209</v>
      </c>
      <c r="C284" s="8" t="s">
        <v>23</v>
      </c>
      <c r="D284" s="8" t="s">
        <v>17</v>
      </c>
      <c r="E284" s="8" t="s">
        <v>14</v>
      </c>
      <c r="F284" s="8" t="s">
        <v>22</v>
      </c>
      <c r="G284" s="7">
        <v>6</v>
      </c>
      <c r="H284" s="7">
        <v>36821</v>
      </c>
      <c r="I284" s="7">
        <v>39737</v>
      </c>
      <c r="J284" s="7">
        <f t="shared" si="12"/>
        <v>220926</v>
      </c>
      <c r="K284" s="7">
        <f t="shared" si="13"/>
        <v>238422</v>
      </c>
      <c r="L284" s="8">
        <f t="shared" si="14"/>
        <v>17496</v>
      </c>
    </row>
    <row r="285" spans="1:12" x14ac:dyDescent="0.3">
      <c r="A285" s="8" t="s">
        <v>317</v>
      </c>
      <c r="B285" s="9">
        <v>45210</v>
      </c>
      <c r="C285" s="8" t="s">
        <v>26</v>
      </c>
      <c r="D285" s="8" t="s">
        <v>24</v>
      </c>
      <c r="E285" s="8" t="s">
        <v>18</v>
      </c>
      <c r="F285" s="8" t="s">
        <v>28</v>
      </c>
      <c r="G285" s="7">
        <v>3</v>
      </c>
      <c r="H285" s="7">
        <v>15097</v>
      </c>
      <c r="I285" s="7">
        <v>20532</v>
      </c>
      <c r="J285" s="7">
        <f t="shared" si="12"/>
        <v>45291</v>
      </c>
      <c r="K285" s="7">
        <f t="shared" si="13"/>
        <v>61596</v>
      </c>
      <c r="L285" s="8">
        <f t="shared" si="14"/>
        <v>16305</v>
      </c>
    </row>
    <row r="286" spans="1:12" x14ac:dyDescent="0.3">
      <c r="A286" s="8" t="s">
        <v>318</v>
      </c>
      <c r="B286" s="9">
        <v>45211</v>
      </c>
      <c r="C286" s="8" t="s">
        <v>16</v>
      </c>
      <c r="D286" s="8" t="s">
        <v>13</v>
      </c>
      <c r="E286" s="8" t="s">
        <v>18</v>
      </c>
      <c r="F286" s="8" t="s">
        <v>28</v>
      </c>
      <c r="G286" s="7">
        <v>2</v>
      </c>
      <c r="H286" s="7">
        <v>28470</v>
      </c>
      <c r="I286" s="7">
        <v>37949</v>
      </c>
      <c r="J286" s="7">
        <f t="shared" si="12"/>
        <v>56940</v>
      </c>
      <c r="K286" s="7">
        <f t="shared" si="13"/>
        <v>75898</v>
      </c>
      <c r="L286" s="8">
        <f t="shared" si="14"/>
        <v>18958</v>
      </c>
    </row>
    <row r="287" spans="1:12" x14ac:dyDescent="0.3">
      <c r="A287" s="8" t="s">
        <v>319</v>
      </c>
      <c r="B287" s="9">
        <v>45212</v>
      </c>
      <c r="C287" s="8" t="s">
        <v>16</v>
      </c>
      <c r="D287" s="8" t="s">
        <v>17</v>
      </c>
      <c r="E287" s="8" t="s">
        <v>14</v>
      </c>
      <c r="F287" s="8" t="s">
        <v>15</v>
      </c>
      <c r="G287" s="7">
        <v>8</v>
      </c>
      <c r="H287" s="7">
        <v>21802</v>
      </c>
      <c r="I287" s="7">
        <v>30637</v>
      </c>
      <c r="J287" s="7">
        <f t="shared" si="12"/>
        <v>174416</v>
      </c>
      <c r="K287" s="7">
        <f t="shared" si="13"/>
        <v>245096</v>
      </c>
      <c r="L287" s="8">
        <f t="shared" si="14"/>
        <v>70680</v>
      </c>
    </row>
    <row r="288" spans="1:12" x14ac:dyDescent="0.3">
      <c r="A288" s="8" t="s">
        <v>320</v>
      </c>
      <c r="B288" s="9">
        <v>45213</v>
      </c>
      <c r="C288" s="8" t="s">
        <v>12</v>
      </c>
      <c r="D288" s="8" t="s">
        <v>21</v>
      </c>
      <c r="E288" s="8" t="s">
        <v>14</v>
      </c>
      <c r="F288" s="8" t="s">
        <v>15</v>
      </c>
      <c r="G288" s="7">
        <v>7</v>
      </c>
      <c r="H288" s="7">
        <v>35142</v>
      </c>
      <c r="I288" s="7">
        <v>36525</v>
      </c>
      <c r="J288" s="7">
        <f t="shared" si="12"/>
        <v>245994</v>
      </c>
      <c r="K288" s="7">
        <f t="shared" si="13"/>
        <v>255675</v>
      </c>
      <c r="L288" s="8">
        <f t="shared" si="14"/>
        <v>9681</v>
      </c>
    </row>
    <row r="289" spans="1:12" x14ac:dyDescent="0.3">
      <c r="A289" s="8" t="s">
        <v>321</v>
      </c>
      <c r="B289" s="9">
        <v>45214</v>
      </c>
      <c r="C289" s="8" t="s">
        <v>12</v>
      </c>
      <c r="D289" s="8" t="s">
        <v>21</v>
      </c>
      <c r="E289" s="8" t="s">
        <v>14</v>
      </c>
      <c r="F289" s="8" t="s">
        <v>22</v>
      </c>
      <c r="G289" s="7">
        <v>10</v>
      </c>
      <c r="H289" s="7">
        <v>25458</v>
      </c>
      <c r="I289" s="7">
        <v>26741</v>
      </c>
      <c r="J289" s="7">
        <f t="shared" si="12"/>
        <v>254580</v>
      </c>
      <c r="K289" s="7">
        <f t="shared" si="13"/>
        <v>267410</v>
      </c>
      <c r="L289" s="8">
        <f t="shared" si="14"/>
        <v>12830</v>
      </c>
    </row>
    <row r="290" spans="1:12" x14ac:dyDescent="0.3">
      <c r="A290" s="8" t="s">
        <v>322</v>
      </c>
      <c r="B290" s="9">
        <v>45215</v>
      </c>
      <c r="C290" s="8" t="s">
        <v>16</v>
      </c>
      <c r="D290" s="8" t="s">
        <v>24</v>
      </c>
      <c r="E290" s="8" t="s">
        <v>18</v>
      </c>
      <c r="F290" s="8" t="s">
        <v>28</v>
      </c>
      <c r="G290" s="7">
        <v>1</v>
      </c>
      <c r="H290" s="7">
        <v>34051</v>
      </c>
      <c r="I290" s="7">
        <v>34743</v>
      </c>
      <c r="J290" s="7">
        <f t="shared" si="12"/>
        <v>34051</v>
      </c>
      <c r="K290" s="7">
        <f t="shared" si="13"/>
        <v>34743</v>
      </c>
      <c r="L290" s="8">
        <f t="shared" si="14"/>
        <v>692</v>
      </c>
    </row>
    <row r="291" spans="1:12" x14ac:dyDescent="0.3">
      <c r="A291" s="8" t="s">
        <v>323</v>
      </c>
      <c r="B291" s="9">
        <v>45216</v>
      </c>
      <c r="C291" s="8" t="s">
        <v>16</v>
      </c>
      <c r="D291" s="8" t="s">
        <v>13</v>
      </c>
      <c r="E291" s="8" t="s">
        <v>18</v>
      </c>
      <c r="F291" s="8" t="s">
        <v>28</v>
      </c>
      <c r="G291" s="7">
        <v>1</v>
      </c>
      <c r="H291" s="7">
        <v>11366</v>
      </c>
      <c r="I291" s="7">
        <v>13407</v>
      </c>
      <c r="J291" s="7">
        <f t="shared" si="12"/>
        <v>11366</v>
      </c>
      <c r="K291" s="7">
        <f t="shared" si="13"/>
        <v>13407</v>
      </c>
      <c r="L291" s="8">
        <f t="shared" si="14"/>
        <v>2041</v>
      </c>
    </row>
    <row r="292" spans="1:12" x14ac:dyDescent="0.3">
      <c r="A292" s="8" t="s">
        <v>324</v>
      </c>
      <c r="B292" s="9">
        <v>45217</v>
      </c>
      <c r="C292" s="8" t="s">
        <v>12</v>
      </c>
      <c r="D292" s="8" t="s">
        <v>21</v>
      </c>
      <c r="E292" s="8" t="s">
        <v>14</v>
      </c>
      <c r="F292" s="8" t="s">
        <v>20</v>
      </c>
      <c r="G292" s="7">
        <v>7</v>
      </c>
      <c r="H292" s="7">
        <v>13921</v>
      </c>
      <c r="I292" s="7">
        <v>14739</v>
      </c>
      <c r="J292" s="7">
        <f t="shared" si="12"/>
        <v>97447</v>
      </c>
      <c r="K292" s="7">
        <f t="shared" si="13"/>
        <v>103173</v>
      </c>
      <c r="L292" s="8">
        <f t="shared" si="14"/>
        <v>5726</v>
      </c>
    </row>
    <row r="293" spans="1:12" x14ac:dyDescent="0.3">
      <c r="A293" s="8" t="s">
        <v>325</v>
      </c>
      <c r="B293" s="9">
        <v>45218</v>
      </c>
      <c r="C293" s="8" t="s">
        <v>16</v>
      </c>
      <c r="D293" s="8" t="s">
        <v>27</v>
      </c>
      <c r="E293" s="8" t="s">
        <v>18</v>
      </c>
      <c r="F293" s="8" t="s">
        <v>25</v>
      </c>
      <c r="G293" s="7">
        <v>10</v>
      </c>
      <c r="H293" s="7">
        <v>9265</v>
      </c>
      <c r="I293" s="7">
        <v>16340</v>
      </c>
      <c r="J293" s="7">
        <f t="shared" si="12"/>
        <v>92650</v>
      </c>
      <c r="K293" s="7">
        <f t="shared" si="13"/>
        <v>163400</v>
      </c>
      <c r="L293" s="8">
        <f t="shared" si="14"/>
        <v>70750</v>
      </c>
    </row>
    <row r="294" spans="1:12" x14ac:dyDescent="0.3">
      <c r="A294" s="8" t="s">
        <v>326</v>
      </c>
      <c r="B294" s="9">
        <v>45219</v>
      </c>
      <c r="C294" s="8" t="s">
        <v>12</v>
      </c>
      <c r="D294" s="8" t="s">
        <v>21</v>
      </c>
      <c r="E294" s="8" t="s">
        <v>14</v>
      </c>
      <c r="F294" s="8" t="s">
        <v>15</v>
      </c>
      <c r="G294" s="7">
        <v>2</v>
      </c>
      <c r="H294" s="7">
        <v>26990</v>
      </c>
      <c r="I294" s="7">
        <v>33262</v>
      </c>
      <c r="J294" s="7">
        <f t="shared" si="12"/>
        <v>53980</v>
      </c>
      <c r="K294" s="7">
        <f t="shared" si="13"/>
        <v>66524</v>
      </c>
      <c r="L294" s="8">
        <f t="shared" si="14"/>
        <v>12544</v>
      </c>
    </row>
    <row r="295" spans="1:12" x14ac:dyDescent="0.3">
      <c r="A295" s="8" t="s">
        <v>327</v>
      </c>
      <c r="B295" s="9">
        <v>45220</v>
      </c>
      <c r="C295" s="8" t="s">
        <v>16</v>
      </c>
      <c r="D295" s="8" t="s">
        <v>29</v>
      </c>
      <c r="E295" s="8" t="s">
        <v>18</v>
      </c>
      <c r="F295" s="8" t="s">
        <v>19</v>
      </c>
      <c r="G295" s="7">
        <v>2</v>
      </c>
      <c r="H295" s="7">
        <v>22904</v>
      </c>
      <c r="I295" s="7">
        <v>31832</v>
      </c>
      <c r="J295" s="7">
        <f t="shared" si="12"/>
        <v>45808</v>
      </c>
      <c r="K295" s="7">
        <f t="shared" si="13"/>
        <v>63664</v>
      </c>
      <c r="L295" s="8">
        <f t="shared" si="14"/>
        <v>17856</v>
      </c>
    </row>
    <row r="296" spans="1:12" x14ac:dyDescent="0.3">
      <c r="A296" s="8" t="s">
        <v>328</v>
      </c>
      <c r="B296" s="9">
        <v>45221</v>
      </c>
      <c r="C296" s="8" t="s">
        <v>23</v>
      </c>
      <c r="D296" s="8" t="s">
        <v>27</v>
      </c>
      <c r="E296" s="8" t="s">
        <v>18</v>
      </c>
      <c r="F296" s="8" t="s">
        <v>28</v>
      </c>
      <c r="G296" s="7">
        <v>2</v>
      </c>
      <c r="H296" s="7">
        <v>10200</v>
      </c>
      <c r="I296" s="7">
        <v>19241</v>
      </c>
      <c r="J296" s="7">
        <f t="shared" si="12"/>
        <v>20400</v>
      </c>
      <c r="K296" s="7">
        <f t="shared" si="13"/>
        <v>38482</v>
      </c>
      <c r="L296" s="8">
        <f t="shared" si="14"/>
        <v>18082</v>
      </c>
    </row>
    <row r="297" spans="1:12" x14ac:dyDescent="0.3">
      <c r="A297" s="8" t="s">
        <v>329</v>
      </c>
      <c r="B297" s="9">
        <v>45222</v>
      </c>
      <c r="C297" s="8" t="s">
        <v>23</v>
      </c>
      <c r="D297" s="8" t="s">
        <v>17</v>
      </c>
      <c r="E297" s="8" t="s">
        <v>18</v>
      </c>
      <c r="F297" s="8" t="s">
        <v>19</v>
      </c>
      <c r="G297" s="7">
        <v>3</v>
      </c>
      <c r="H297" s="7">
        <v>18600</v>
      </c>
      <c r="I297" s="7">
        <v>24967</v>
      </c>
      <c r="J297" s="7">
        <f t="shared" si="12"/>
        <v>55800</v>
      </c>
      <c r="K297" s="7">
        <f t="shared" si="13"/>
        <v>74901</v>
      </c>
      <c r="L297" s="8">
        <f t="shared" si="14"/>
        <v>19101</v>
      </c>
    </row>
    <row r="298" spans="1:12" x14ac:dyDescent="0.3">
      <c r="A298" s="8" t="s">
        <v>330</v>
      </c>
      <c r="B298" s="9">
        <v>45223</v>
      </c>
      <c r="C298" s="8" t="s">
        <v>23</v>
      </c>
      <c r="D298" s="8" t="s">
        <v>29</v>
      </c>
      <c r="E298" s="8" t="s">
        <v>14</v>
      </c>
      <c r="F298" s="8" t="s">
        <v>15</v>
      </c>
      <c r="G298" s="7">
        <v>4</v>
      </c>
      <c r="H298" s="7">
        <v>39975</v>
      </c>
      <c r="I298" s="7">
        <v>43568</v>
      </c>
      <c r="J298" s="7">
        <f t="shared" si="12"/>
        <v>159900</v>
      </c>
      <c r="K298" s="7">
        <f t="shared" si="13"/>
        <v>174272</v>
      </c>
      <c r="L298" s="8">
        <f t="shared" si="14"/>
        <v>14372</v>
      </c>
    </row>
    <row r="299" spans="1:12" x14ac:dyDescent="0.3">
      <c r="A299" s="8" t="s">
        <v>331</v>
      </c>
      <c r="B299" s="9">
        <v>45224</v>
      </c>
      <c r="C299" s="8" t="s">
        <v>12</v>
      </c>
      <c r="D299" s="8" t="s">
        <v>17</v>
      </c>
      <c r="E299" s="8" t="s">
        <v>14</v>
      </c>
      <c r="F299" s="8" t="s">
        <v>22</v>
      </c>
      <c r="G299" s="7">
        <v>3</v>
      </c>
      <c r="H299" s="7">
        <v>17392</v>
      </c>
      <c r="I299" s="7">
        <v>22142</v>
      </c>
      <c r="J299" s="7">
        <f t="shared" si="12"/>
        <v>52176</v>
      </c>
      <c r="K299" s="7">
        <f t="shared" si="13"/>
        <v>66426</v>
      </c>
      <c r="L299" s="8">
        <f t="shared" si="14"/>
        <v>14250</v>
      </c>
    </row>
    <row r="300" spans="1:12" x14ac:dyDescent="0.3">
      <c r="A300" s="8" t="s">
        <v>332</v>
      </c>
      <c r="B300" s="9">
        <v>45225</v>
      </c>
      <c r="C300" s="8" t="s">
        <v>26</v>
      </c>
      <c r="D300" s="8" t="s">
        <v>21</v>
      </c>
      <c r="E300" s="8" t="s">
        <v>14</v>
      </c>
      <c r="F300" s="8" t="s">
        <v>15</v>
      </c>
      <c r="G300" s="7">
        <v>6</v>
      </c>
      <c r="H300" s="7">
        <v>14288</v>
      </c>
      <c r="I300" s="7">
        <v>23843</v>
      </c>
      <c r="J300" s="7">
        <f t="shared" si="12"/>
        <v>85728</v>
      </c>
      <c r="K300" s="7">
        <f t="shared" si="13"/>
        <v>143058</v>
      </c>
      <c r="L300" s="8">
        <f t="shared" si="14"/>
        <v>57330</v>
      </c>
    </row>
    <row r="301" spans="1:12" x14ac:dyDescent="0.3">
      <c r="A301" s="8" t="s">
        <v>333</v>
      </c>
      <c r="B301" s="9">
        <v>45226</v>
      </c>
      <c r="C301" s="8" t="s">
        <v>12</v>
      </c>
      <c r="D301" s="8" t="s">
        <v>21</v>
      </c>
      <c r="E301" s="8" t="s">
        <v>18</v>
      </c>
      <c r="F301" s="8" t="s">
        <v>28</v>
      </c>
      <c r="G301" s="7">
        <v>8</v>
      </c>
      <c r="H301" s="7">
        <v>7081</v>
      </c>
      <c r="I301" s="7">
        <v>12601</v>
      </c>
      <c r="J301" s="7">
        <f t="shared" si="12"/>
        <v>56648</v>
      </c>
      <c r="K301" s="7">
        <f t="shared" si="13"/>
        <v>100808</v>
      </c>
      <c r="L301" s="8">
        <f t="shared" si="14"/>
        <v>44160</v>
      </c>
    </row>
    <row r="302" spans="1:12" x14ac:dyDescent="0.3">
      <c r="A302" s="8" t="s">
        <v>334</v>
      </c>
      <c r="B302" s="9">
        <v>45227</v>
      </c>
      <c r="C302" s="8" t="s">
        <v>26</v>
      </c>
      <c r="D302" s="8" t="s">
        <v>13</v>
      </c>
      <c r="E302" s="8" t="s">
        <v>14</v>
      </c>
      <c r="F302" s="8" t="s">
        <v>22</v>
      </c>
      <c r="G302" s="7">
        <v>2</v>
      </c>
      <c r="H302" s="7">
        <v>11952</v>
      </c>
      <c r="I302" s="7">
        <v>20595</v>
      </c>
      <c r="J302" s="7">
        <f t="shared" si="12"/>
        <v>23904</v>
      </c>
      <c r="K302" s="7">
        <f t="shared" si="13"/>
        <v>41190</v>
      </c>
      <c r="L302" s="8">
        <f t="shared" si="14"/>
        <v>17286</v>
      </c>
    </row>
    <row r="303" spans="1:12" x14ac:dyDescent="0.3">
      <c r="A303" s="8" t="s">
        <v>335</v>
      </c>
      <c r="B303" s="9">
        <v>45228</v>
      </c>
      <c r="C303" s="8" t="s">
        <v>12</v>
      </c>
      <c r="D303" s="8" t="s">
        <v>24</v>
      </c>
      <c r="E303" s="8" t="s">
        <v>14</v>
      </c>
      <c r="F303" s="8" t="s">
        <v>15</v>
      </c>
      <c r="G303" s="7">
        <v>4</v>
      </c>
      <c r="H303" s="7">
        <v>19410</v>
      </c>
      <c r="I303" s="7">
        <v>20626</v>
      </c>
      <c r="J303" s="7">
        <f t="shared" si="12"/>
        <v>77640</v>
      </c>
      <c r="K303" s="7">
        <f t="shared" si="13"/>
        <v>82504</v>
      </c>
      <c r="L303" s="8">
        <f t="shared" si="14"/>
        <v>4864</v>
      </c>
    </row>
    <row r="304" spans="1:12" x14ac:dyDescent="0.3">
      <c r="A304" s="8" t="s">
        <v>336</v>
      </c>
      <c r="B304" s="9">
        <v>45229</v>
      </c>
      <c r="C304" s="8" t="s">
        <v>26</v>
      </c>
      <c r="D304" s="8" t="s">
        <v>27</v>
      </c>
      <c r="E304" s="8" t="s">
        <v>18</v>
      </c>
      <c r="F304" s="8" t="s">
        <v>19</v>
      </c>
      <c r="G304" s="7">
        <v>3</v>
      </c>
      <c r="H304" s="7">
        <v>29187</v>
      </c>
      <c r="I304" s="7">
        <v>32082</v>
      </c>
      <c r="J304" s="7">
        <f t="shared" si="12"/>
        <v>87561</v>
      </c>
      <c r="K304" s="7">
        <f t="shared" si="13"/>
        <v>96246</v>
      </c>
      <c r="L304" s="8">
        <f t="shared" si="14"/>
        <v>8685</v>
      </c>
    </row>
    <row r="305" spans="1:12" x14ac:dyDescent="0.3">
      <c r="A305" s="8" t="s">
        <v>337</v>
      </c>
      <c r="B305" s="9">
        <v>45230</v>
      </c>
      <c r="C305" s="8" t="s">
        <v>12</v>
      </c>
      <c r="D305" s="8" t="s">
        <v>21</v>
      </c>
      <c r="E305" s="8" t="s">
        <v>18</v>
      </c>
      <c r="F305" s="8" t="s">
        <v>19</v>
      </c>
      <c r="G305" s="7">
        <v>10</v>
      </c>
      <c r="H305" s="7">
        <v>19042</v>
      </c>
      <c r="I305" s="7">
        <v>21257</v>
      </c>
      <c r="J305" s="7">
        <f t="shared" si="12"/>
        <v>190420</v>
      </c>
      <c r="K305" s="7">
        <f t="shared" si="13"/>
        <v>212570</v>
      </c>
      <c r="L305" s="8">
        <f t="shared" si="14"/>
        <v>22150</v>
      </c>
    </row>
    <row r="306" spans="1:12" x14ac:dyDescent="0.3">
      <c r="A306" s="8" t="s">
        <v>338</v>
      </c>
      <c r="B306" s="9">
        <v>45231</v>
      </c>
      <c r="C306" s="8" t="s">
        <v>16</v>
      </c>
      <c r="D306" s="8" t="s">
        <v>17</v>
      </c>
      <c r="E306" s="8" t="s">
        <v>14</v>
      </c>
      <c r="F306" s="8" t="s">
        <v>22</v>
      </c>
      <c r="G306" s="7">
        <v>7</v>
      </c>
      <c r="H306" s="7">
        <v>16048</v>
      </c>
      <c r="I306" s="7">
        <v>16326</v>
      </c>
      <c r="J306" s="7">
        <f t="shared" si="12"/>
        <v>112336</v>
      </c>
      <c r="K306" s="7">
        <f t="shared" si="13"/>
        <v>114282</v>
      </c>
      <c r="L306" s="8">
        <f t="shared" si="14"/>
        <v>1946</v>
      </c>
    </row>
    <row r="307" spans="1:12" x14ac:dyDescent="0.3">
      <c r="A307" s="8" t="s">
        <v>339</v>
      </c>
      <c r="B307" s="9">
        <v>45232</v>
      </c>
      <c r="C307" s="8" t="s">
        <v>26</v>
      </c>
      <c r="D307" s="8" t="s">
        <v>13</v>
      </c>
      <c r="E307" s="8" t="s">
        <v>14</v>
      </c>
      <c r="F307" s="8" t="s">
        <v>20</v>
      </c>
      <c r="G307" s="7">
        <v>6</v>
      </c>
      <c r="H307" s="7">
        <v>33812</v>
      </c>
      <c r="I307" s="7">
        <v>43263</v>
      </c>
      <c r="J307" s="7">
        <f t="shared" si="12"/>
        <v>202872</v>
      </c>
      <c r="K307" s="7">
        <f t="shared" si="13"/>
        <v>259578</v>
      </c>
      <c r="L307" s="8">
        <f t="shared" si="14"/>
        <v>56706</v>
      </c>
    </row>
    <row r="308" spans="1:12" x14ac:dyDescent="0.3">
      <c r="A308" s="8" t="s">
        <v>340</v>
      </c>
      <c r="B308" s="9">
        <v>45233</v>
      </c>
      <c r="C308" s="8" t="s">
        <v>23</v>
      </c>
      <c r="D308" s="8" t="s">
        <v>27</v>
      </c>
      <c r="E308" s="8" t="s">
        <v>18</v>
      </c>
      <c r="F308" s="8" t="s">
        <v>25</v>
      </c>
      <c r="G308" s="7">
        <v>10</v>
      </c>
      <c r="H308" s="7">
        <v>11329</v>
      </c>
      <c r="I308" s="7">
        <v>11827</v>
      </c>
      <c r="J308" s="7">
        <f t="shared" si="12"/>
        <v>113290</v>
      </c>
      <c r="K308" s="7">
        <f t="shared" si="13"/>
        <v>118270</v>
      </c>
      <c r="L308" s="8">
        <f t="shared" si="14"/>
        <v>4980</v>
      </c>
    </row>
    <row r="309" spans="1:12" x14ac:dyDescent="0.3">
      <c r="A309" s="8" t="s">
        <v>341</v>
      </c>
      <c r="B309" s="9">
        <v>45234</v>
      </c>
      <c r="C309" s="8" t="s">
        <v>12</v>
      </c>
      <c r="D309" s="8" t="s">
        <v>27</v>
      </c>
      <c r="E309" s="8" t="s">
        <v>14</v>
      </c>
      <c r="F309" s="8" t="s">
        <v>15</v>
      </c>
      <c r="G309" s="7">
        <v>9</v>
      </c>
      <c r="H309" s="7">
        <v>14704</v>
      </c>
      <c r="I309" s="7">
        <v>21844</v>
      </c>
      <c r="J309" s="7">
        <f t="shared" si="12"/>
        <v>132336</v>
      </c>
      <c r="K309" s="7">
        <f t="shared" si="13"/>
        <v>196596</v>
      </c>
      <c r="L309" s="8">
        <f t="shared" si="14"/>
        <v>64260</v>
      </c>
    </row>
    <row r="310" spans="1:12" x14ac:dyDescent="0.3">
      <c r="A310" s="8" t="s">
        <v>342</v>
      </c>
      <c r="B310" s="9">
        <v>45235</v>
      </c>
      <c r="C310" s="8" t="s">
        <v>12</v>
      </c>
      <c r="D310" s="8" t="s">
        <v>13</v>
      </c>
      <c r="E310" s="8" t="s">
        <v>18</v>
      </c>
      <c r="F310" s="8" t="s">
        <v>28</v>
      </c>
      <c r="G310" s="7">
        <v>3</v>
      </c>
      <c r="H310" s="7">
        <v>18202</v>
      </c>
      <c r="I310" s="7">
        <v>22196</v>
      </c>
      <c r="J310" s="7">
        <f t="shared" si="12"/>
        <v>54606</v>
      </c>
      <c r="K310" s="7">
        <f t="shared" si="13"/>
        <v>66588</v>
      </c>
      <c r="L310" s="8">
        <f t="shared" si="14"/>
        <v>11982</v>
      </c>
    </row>
    <row r="311" spans="1:12" x14ac:dyDescent="0.3">
      <c r="A311" s="8" t="s">
        <v>343</v>
      </c>
      <c r="B311" s="9">
        <v>45236</v>
      </c>
      <c r="C311" s="8" t="s">
        <v>26</v>
      </c>
      <c r="D311" s="8" t="s">
        <v>17</v>
      </c>
      <c r="E311" s="8" t="s">
        <v>14</v>
      </c>
      <c r="F311" s="8" t="s">
        <v>20</v>
      </c>
      <c r="G311" s="7">
        <v>10</v>
      </c>
      <c r="H311" s="7">
        <v>7238</v>
      </c>
      <c r="I311" s="7">
        <v>9876</v>
      </c>
      <c r="J311" s="7">
        <f t="shared" si="12"/>
        <v>72380</v>
      </c>
      <c r="K311" s="7">
        <f t="shared" si="13"/>
        <v>98760</v>
      </c>
      <c r="L311" s="8">
        <f t="shared" si="14"/>
        <v>26380</v>
      </c>
    </row>
    <row r="312" spans="1:12" x14ac:dyDescent="0.3">
      <c r="A312" s="8" t="s">
        <v>344</v>
      </c>
      <c r="B312" s="9">
        <v>45237</v>
      </c>
      <c r="C312" s="8" t="s">
        <v>12</v>
      </c>
      <c r="D312" s="8" t="s">
        <v>29</v>
      </c>
      <c r="E312" s="8" t="s">
        <v>18</v>
      </c>
      <c r="F312" s="8" t="s">
        <v>25</v>
      </c>
      <c r="G312" s="7">
        <v>4</v>
      </c>
      <c r="H312" s="7">
        <v>27876</v>
      </c>
      <c r="I312" s="7">
        <v>34141</v>
      </c>
      <c r="J312" s="7">
        <f t="shared" si="12"/>
        <v>111504</v>
      </c>
      <c r="K312" s="7">
        <f t="shared" si="13"/>
        <v>136564</v>
      </c>
      <c r="L312" s="8">
        <f t="shared" si="14"/>
        <v>25060</v>
      </c>
    </row>
    <row r="313" spans="1:12" x14ac:dyDescent="0.3">
      <c r="A313" s="8" t="s">
        <v>345</v>
      </c>
      <c r="B313" s="9">
        <v>45238</v>
      </c>
      <c r="C313" s="8" t="s">
        <v>16</v>
      </c>
      <c r="D313" s="8" t="s">
        <v>27</v>
      </c>
      <c r="E313" s="8" t="s">
        <v>18</v>
      </c>
      <c r="F313" s="8" t="s">
        <v>28</v>
      </c>
      <c r="G313" s="7">
        <v>3</v>
      </c>
      <c r="H313" s="7">
        <v>36655</v>
      </c>
      <c r="I313" s="7">
        <v>37015</v>
      </c>
      <c r="J313" s="7">
        <f t="shared" si="12"/>
        <v>109965</v>
      </c>
      <c r="K313" s="7">
        <f t="shared" si="13"/>
        <v>111045</v>
      </c>
      <c r="L313" s="8">
        <f t="shared" si="14"/>
        <v>1080</v>
      </c>
    </row>
    <row r="314" spans="1:12" x14ac:dyDescent="0.3">
      <c r="A314" s="8" t="s">
        <v>346</v>
      </c>
      <c r="B314" s="9">
        <v>45239</v>
      </c>
      <c r="C314" s="8" t="s">
        <v>12</v>
      </c>
      <c r="D314" s="8" t="s">
        <v>24</v>
      </c>
      <c r="E314" s="8" t="s">
        <v>18</v>
      </c>
      <c r="F314" s="8" t="s">
        <v>25</v>
      </c>
      <c r="G314" s="7">
        <v>5</v>
      </c>
      <c r="H314" s="7">
        <v>21165</v>
      </c>
      <c r="I314" s="7">
        <v>22995</v>
      </c>
      <c r="J314" s="7">
        <f t="shared" si="12"/>
        <v>105825</v>
      </c>
      <c r="K314" s="7">
        <f t="shared" si="13"/>
        <v>114975</v>
      </c>
      <c r="L314" s="8">
        <f t="shared" si="14"/>
        <v>9150</v>
      </c>
    </row>
    <row r="315" spans="1:12" x14ac:dyDescent="0.3">
      <c r="A315" s="8" t="s">
        <v>347</v>
      </c>
      <c r="B315" s="9">
        <v>45240</v>
      </c>
      <c r="C315" s="8" t="s">
        <v>16</v>
      </c>
      <c r="D315" s="8" t="s">
        <v>27</v>
      </c>
      <c r="E315" s="8" t="s">
        <v>18</v>
      </c>
      <c r="F315" s="8" t="s">
        <v>19</v>
      </c>
      <c r="G315" s="7">
        <v>7</v>
      </c>
      <c r="H315" s="7">
        <v>7948</v>
      </c>
      <c r="I315" s="7">
        <v>11686</v>
      </c>
      <c r="J315" s="7">
        <f t="shared" si="12"/>
        <v>55636</v>
      </c>
      <c r="K315" s="7">
        <f t="shared" si="13"/>
        <v>81802</v>
      </c>
      <c r="L315" s="8">
        <f t="shared" si="14"/>
        <v>26166</v>
      </c>
    </row>
    <row r="316" spans="1:12" x14ac:dyDescent="0.3">
      <c r="A316" s="8" t="s">
        <v>348</v>
      </c>
      <c r="B316" s="9">
        <v>45241</v>
      </c>
      <c r="C316" s="8" t="s">
        <v>12</v>
      </c>
      <c r="D316" s="8" t="s">
        <v>17</v>
      </c>
      <c r="E316" s="8" t="s">
        <v>14</v>
      </c>
      <c r="F316" s="8" t="s">
        <v>22</v>
      </c>
      <c r="G316" s="7">
        <v>5</v>
      </c>
      <c r="H316" s="7">
        <v>12571</v>
      </c>
      <c r="I316" s="7">
        <v>20774</v>
      </c>
      <c r="J316" s="7">
        <f t="shared" si="12"/>
        <v>62855</v>
      </c>
      <c r="K316" s="7">
        <f t="shared" si="13"/>
        <v>103870</v>
      </c>
      <c r="L316" s="8">
        <f t="shared" si="14"/>
        <v>41015</v>
      </c>
    </row>
    <row r="317" spans="1:12" x14ac:dyDescent="0.3">
      <c r="A317" s="8" t="s">
        <v>349</v>
      </c>
      <c r="B317" s="9">
        <v>45242</v>
      </c>
      <c r="C317" s="8" t="s">
        <v>23</v>
      </c>
      <c r="D317" s="8" t="s">
        <v>24</v>
      </c>
      <c r="E317" s="8" t="s">
        <v>18</v>
      </c>
      <c r="F317" s="8" t="s">
        <v>19</v>
      </c>
      <c r="G317" s="7">
        <v>7</v>
      </c>
      <c r="H317" s="7">
        <v>11880</v>
      </c>
      <c r="I317" s="7">
        <v>12597</v>
      </c>
      <c r="J317" s="7">
        <f t="shared" si="12"/>
        <v>83160</v>
      </c>
      <c r="K317" s="7">
        <f t="shared" si="13"/>
        <v>88179</v>
      </c>
      <c r="L317" s="8">
        <f t="shared" si="14"/>
        <v>5019</v>
      </c>
    </row>
    <row r="318" spans="1:12" x14ac:dyDescent="0.3">
      <c r="A318" s="8" t="s">
        <v>350</v>
      </c>
      <c r="B318" s="9">
        <v>45243</v>
      </c>
      <c r="C318" s="8" t="s">
        <v>16</v>
      </c>
      <c r="D318" s="8" t="s">
        <v>27</v>
      </c>
      <c r="E318" s="8" t="s">
        <v>18</v>
      </c>
      <c r="F318" s="8" t="s">
        <v>25</v>
      </c>
      <c r="G318" s="7">
        <v>4</v>
      </c>
      <c r="H318" s="7">
        <v>14808</v>
      </c>
      <c r="I318" s="7">
        <v>23237</v>
      </c>
      <c r="J318" s="7">
        <f t="shared" si="12"/>
        <v>59232</v>
      </c>
      <c r="K318" s="7">
        <f t="shared" si="13"/>
        <v>92948</v>
      </c>
      <c r="L318" s="8">
        <f t="shared" si="14"/>
        <v>33716</v>
      </c>
    </row>
    <row r="319" spans="1:12" x14ac:dyDescent="0.3">
      <c r="A319" s="8" t="s">
        <v>351</v>
      </c>
      <c r="B319" s="9">
        <v>45244</v>
      </c>
      <c r="C319" s="8" t="s">
        <v>12</v>
      </c>
      <c r="D319" s="8" t="s">
        <v>29</v>
      </c>
      <c r="E319" s="8" t="s">
        <v>14</v>
      </c>
      <c r="F319" s="8" t="s">
        <v>20</v>
      </c>
      <c r="G319" s="7">
        <v>9</v>
      </c>
      <c r="H319" s="7">
        <v>14728</v>
      </c>
      <c r="I319" s="7">
        <v>19569</v>
      </c>
      <c r="J319" s="7">
        <f t="shared" si="12"/>
        <v>132552</v>
      </c>
      <c r="K319" s="7">
        <f t="shared" si="13"/>
        <v>176121</v>
      </c>
      <c r="L319" s="8">
        <f t="shared" si="14"/>
        <v>43569</v>
      </c>
    </row>
    <row r="320" spans="1:12" x14ac:dyDescent="0.3">
      <c r="A320" s="8" t="s">
        <v>352</v>
      </c>
      <c r="B320" s="9">
        <v>45245</v>
      </c>
      <c r="C320" s="8" t="s">
        <v>26</v>
      </c>
      <c r="D320" s="8" t="s">
        <v>29</v>
      </c>
      <c r="E320" s="8" t="s">
        <v>18</v>
      </c>
      <c r="F320" s="8" t="s">
        <v>28</v>
      </c>
      <c r="G320" s="7">
        <v>10</v>
      </c>
      <c r="H320" s="7">
        <v>21577</v>
      </c>
      <c r="I320" s="7">
        <v>24858</v>
      </c>
      <c r="J320" s="7">
        <f t="shared" si="12"/>
        <v>215770</v>
      </c>
      <c r="K320" s="7">
        <f t="shared" si="13"/>
        <v>248580</v>
      </c>
      <c r="L320" s="8">
        <f t="shared" si="14"/>
        <v>32810</v>
      </c>
    </row>
    <row r="321" spans="1:12" x14ac:dyDescent="0.3">
      <c r="A321" s="8" t="s">
        <v>353</v>
      </c>
      <c r="B321" s="9">
        <v>45246</v>
      </c>
      <c r="C321" s="8" t="s">
        <v>26</v>
      </c>
      <c r="D321" s="8" t="s">
        <v>21</v>
      </c>
      <c r="E321" s="8" t="s">
        <v>14</v>
      </c>
      <c r="F321" s="8" t="s">
        <v>22</v>
      </c>
      <c r="G321" s="7">
        <v>1</v>
      </c>
      <c r="H321" s="7">
        <v>20680</v>
      </c>
      <c r="I321" s="7">
        <v>24395</v>
      </c>
      <c r="J321" s="7">
        <f t="shared" si="12"/>
        <v>20680</v>
      </c>
      <c r="K321" s="7">
        <f t="shared" si="13"/>
        <v>24395</v>
      </c>
      <c r="L321" s="8">
        <f t="shared" si="14"/>
        <v>3715</v>
      </c>
    </row>
    <row r="322" spans="1:12" x14ac:dyDescent="0.3">
      <c r="A322" s="8" t="s">
        <v>354</v>
      </c>
      <c r="B322" s="9">
        <v>45247</v>
      </c>
      <c r="C322" s="8" t="s">
        <v>26</v>
      </c>
      <c r="D322" s="8" t="s">
        <v>21</v>
      </c>
      <c r="E322" s="8" t="s">
        <v>18</v>
      </c>
      <c r="F322" s="8" t="s">
        <v>19</v>
      </c>
      <c r="G322" s="7">
        <v>4</v>
      </c>
      <c r="H322" s="7">
        <v>2704</v>
      </c>
      <c r="I322" s="7">
        <v>3473</v>
      </c>
      <c r="J322" s="7">
        <f t="shared" si="12"/>
        <v>10816</v>
      </c>
      <c r="K322" s="7">
        <f t="shared" si="13"/>
        <v>13892</v>
      </c>
      <c r="L322" s="8">
        <f t="shared" si="14"/>
        <v>3076</v>
      </c>
    </row>
    <row r="323" spans="1:12" x14ac:dyDescent="0.3">
      <c r="A323" s="8" t="s">
        <v>355</v>
      </c>
      <c r="B323" s="9">
        <v>45248</v>
      </c>
      <c r="C323" s="8" t="s">
        <v>23</v>
      </c>
      <c r="D323" s="8" t="s">
        <v>29</v>
      </c>
      <c r="E323" s="8" t="s">
        <v>14</v>
      </c>
      <c r="F323" s="8" t="s">
        <v>15</v>
      </c>
      <c r="G323" s="7">
        <v>4</v>
      </c>
      <c r="H323" s="7">
        <v>13297</v>
      </c>
      <c r="I323" s="7">
        <v>21897</v>
      </c>
      <c r="J323" s="7">
        <f t="shared" ref="J323:J386" si="15">G323*H323</f>
        <v>53188</v>
      </c>
      <c r="K323" s="7">
        <f t="shared" ref="K323:K386" si="16">G323*I323</f>
        <v>87588</v>
      </c>
      <c r="L323" s="8">
        <f t="shared" ref="L323:L386" si="17">(I323-H323)*G323</f>
        <v>34400</v>
      </c>
    </row>
    <row r="324" spans="1:12" x14ac:dyDescent="0.3">
      <c r="A324" s="8" t="s">
        <v>356</v>
      </c>
      <c r="B324" s="9">
        <v>45249</v>
      </c>
      <c r="C324" s="8" t="s">
        <v>16</v>
      </c>
      <c r="D324" s="8" t="s">
        <v>29</v>
      </c>
      <c r="E324" s="8" t="s">
        <v>14</v>
      </c>
      <c r="F324" s="8" t="s">
        <v>22</v>
      </c>
      <c r="G324" s="7">
        <v>1</v>
      </c>
      <c r="H324" s="7">
        <v>5827</v>
      </c>
      <c r="I324" s="7">
        <v>13208</v>
      </c>
      <c r="J324" s="7">
        <f t="shared" si="15"/>
        <v>5827</v>
      </c>
      <c r="K324" s="7">
        <f t="shared" si="16"/>
        <v>13208</v>
      </c>
      <c r="L324" s="8">
        <f t="shared" si="17"/>
        <v>7381</v>
      </c>
    </row>
    <row r="325" spans="1:12" x14ac:dyDescent="0.3">
      <c r="A325" s="8" t="s">
        <v>357</v>
      </c>
      <c r="B325" s="9">
        <v>45250</v>
      </c>
      <c r="C325" s="8" t="s">
        <v>26</v>
      </c>
      <c r="D325" s="8" t="s">
        <v>21</v>
      </c>
      <c r="E325" s="8" t="s">
        <v>18</v>
      </c>
      <c r="F325" s="8" t="s">
        <v>19</v>
      </c>
      <c r="G325" s="7">
        <v>1</v>
      </c>
      <c r="H325" s="7">
        <v>31429</v>
      </c>
      <c r="I325" s="7">
        <v>38435</v>
      </c>
      <c r="J325" s="7">
        <f t="shared" si="15"/>
        <v>31429</v>
      </c>
      <c r="K325" s="7">
        <f t="shared" si="16"/>
        <v>38435</v>
      </c>
      <c r="L325" s="8">
        <f t="shared" si="17"/>
        <v>7006</v>
      </c>
    </row>
    <row r="326" spans="1:12" x14ac:dyDescent="0.3">
      <c r="A326" s="8" t="s">
        <v>358</v>
      </c>
      <c r="B326" s="9">
        <v>45251</v>
      </c>
      <c r="C326" s="8" t="s">
        <v>16</v>
      </c>
      <c r="D326" s="8" t="s">
        <v>21</v>
      </c>
      <c r="E326" s="8" t="s">
        <v>18</v>
      </c>
      <c r="F326" s="8" t="s">
        <v>28</v>
      </c>
      <c r="G326" s="7">
        <v>5</v>
      </c>
      <c r="H326" s="7">
        <v>16593</v>
      </c>
      <c r="I326" s="7">
        <v>21660</v>
      </c>
      <c r="J326" s="7">
        <f t="shared" si="15"/>
        <v>82965</v>
      </c>
      <c r="K326" s="7">
        <f t="shared" si="16"/>
        <v>108300</v>
      </c>
      <c r="L326" s="8">
        <f t="shared" si="17"/>
        <v>25335</v>
      </c>
    </row>
    <row r="327" spans="1:12" x14ac:dyDescent="0.3">
      <c r="A327" s="8" t="s">
        <v>359</v>
      </c>
      <c r="B327" s="9">
        <v>45252</v>
      </c>
      <c r="C327" s="8" t="s">
        <v>12</v>
      </c>
      <c r="D327" s="8" t="s">
        <v>29</v>
      </c>
      <c r="E327" s="8" t="s">
        <v>14</v>
      </c>
      <c r="F327" s="8" t="s">
        <v>20</v>
      </c>
      <c r="G327" s="7">
        <v>9</v>
      </c>
      <c r="H327" s="7">
        <v>33997</v>
      </c>
      <c r="I327" s="7">
        <v>38959</v>
      </c>
      <c r="J327" s="7">
        <f t="shared" si="15"/>
        <v>305973</v>
      </c>
      <c r="K327" s="7">
        <f t="shared" si="16"/>
        <v>350631</v>
      </c>
      <c r="L327" s="8">
        <f t="shared" si="17"/>
        <v>44658</v>
      </c>
    </row>
    <row r="328" spans="1:12" x14ac:dyDescent="0.3">
      <c r="A328" s="8" t="s">
        <v>360</v>
      </c>
      <c r="B328" s="9">
        <v>45253</v>
      </c>
      <c r="C328" s="8" t="s">
        <v>16</v>
      </c>
      <c r="D328" s="8" t="s">
        <v>13</v>
      </c>
      <c r="E328" s="8" t="s">
        <v>18</v>
      </c>
      <c r="F328" s="8" t="s">
        <v>19</v>
      </c>
      <c r="G328" s="7">
        <v>10</v>
      </c>
      <c r="H328" s="7">
        <v>9833</v>
      </c>
      <c r="I328" s="7">
        <v>19037</v>
      </c>
      <c r="J328" s="7">
        <f t="shared" si="15"/>
        <v>98330</v>
      </c>
      <c r="K328" s="7">
        <f t="shared" si="16"/>
        <v>190370</v>
      </c>
      <c r="L328" s="8">
        <f t="shared" si="17"/>
        <v>92040</v>
      </c>
    </row>
    <row r="329" spans="1:12" x14ac:dyDescent="0.3">
      <c r="A329" s="8" t="s">
        <v>361</v>
      </c>
      <c r="B329" s="9">
        <v>45254</v>
      </c>
      <c r="C329" s="8" t="s">
        <v>26</v>
      </c>
      <c r="D329" s="8" t="s">
        <v>29</v>
      </c>
      <c r="E329" s="8" t="s">
        <v>14</v>
      </c>
      <c r="F329" s="8" t="s">
        <v>15</v>
      </c>
      <c r="G329" s="7">
        <v>8</v>
      </c>
      <c r="H329" s="7">
        <v>20239</v>
      </c>
      <c r="I329" s="7">
        <v>28077</v>
      </c>
      <c r="J329" s="7">
        <f t="shared" si="15"/>
        <v>161912</v>
      </c>
      <c r="K329" s="7">
        <f t="shared" si="16"/>
        <v>224616</v>
      </c>
      <c r="L329" s="8">
        <f t="shared" si="17"/>
        <v>62704</v>
      </c>
    </row>
    <row r="330" spans="1:12" x14ac:dyDescent="0.3">
      <c r="A330" s="8" t="s">
        <v>362</v>
      </c>
      <c r="B330" s="9">
        <v>45255</v>
      </c>
      <c r="C330" s="8" t="s">
        <v>16</v>
      </c>
      <c r="D330" s="8" t="s">
        <v>27</v>
      </c>
      <c r="E330" s="8" t="s">
        <v>14</v>
      </c>
      <c r="F330" s="8" t="s">
        <v>22</v>
      </c>
      <c r="G330" s="7">
        <v>8</v>
      </c>
      <c r="H330" s="7">
        <v>3114</v>
      </c>
      <c r="I330" s="7">
        <v>7046</v>
      </c>
      <c r="J330" s="7">
        <f t="shared" si="15"/>
        <v>24912</v>
      </c>
      <c r="K330" s="7">
        <f t="shared" si="16"/>
        <v>56368</v>
      </c>
      <c r="L330" s="8">
        <f t="shared" si="17"/>
        <v>31456</v>
      </c>
    </row>
    <row r="331" spans="1:12" x14ac:dyDescent="0.3">
      <c r="A331" s="8" t="s">
        <v>363</v>
      </c>
      <c r="B331" s="9">
        <v>45256</v>
      </c>
      <c r="C331" s="8" t="s">
        <v>26</v>
      </c>
      <c r="D331" s="8" t="s">
        <v>17</v>
      </c>
      <c r="E331" s="8" t="s">
        <v>14</v>
      </c>
      <c r="F331" s="8" t="s">
        <v>20</v>
      </c>
      <c r="G331" s="7">
        <v>5</v>
      </c>
      <c r="H331" s="7">
        <v>24468</v>
      </c>
      <c r="I331" s="7">
        <v>24901</v>
      </c>
      <c r="J331" s="7">
        <f t="shared" si="15"/>
        <v>122340</v>
      </c>
      <c r="K331" s="7">
        <f t="shared" si="16"/>
        <v>124505</v>
      </c>
      <c r="L331" s="8">
        <f t="shared" si="17"/>
        <v>2165</v>
      </c>
    </row>
    <row r="332" spans="1:12" x14ac:dyDescent="0.3">
      <c r="A332" s="8" t="s">
        <v>364</v>
      </c>
      <c r="B332" s="9">
        <v>45257</v>
      </c>
      <c r="C332" s="8" t="s">
        <v>23</v>
      </c>
      <c r="D332" s="8" t="s">
        <v>17</v>
      </c>
      <c r="E332" s="8" t="s">
        <v>14</v>
      </c>
      <c r="F332" s="8" t="s">
        <v>20</v>
      </c>
      <c r="G332" s="7">
        <v>3</v>
      </c>
      <c r="H332" s="7">
        <v>31720</v>
      </c>
      <c r="I332" s="7">
        <v>39258</v>
      </c>
      <c r="J332" s="7">
        <f t="shared" si="15"/>
        <v>95160</v>
      </c>
      <c r="K332" s="7">
        <f t="shared" si="16"/>
        <v>117774</v>
      </c>
      <c r="L332" s="8">
        <f t="shared" si="17"/>
        <v>22614</v>
      </c>
    </row>
    <row r="333" spans="1:12" x14ac:dyDescent="0.3">
      <c r="A333" s="8" t="s">
        <v>365</v>
      </c>
      <c r="B333" s="9">
        <v>45258</v>
      </c>
      <c r="C333" s="8" t="s">
        <v>12</v>
      </c>
      <c r="D333" s="8" t="s">
        <v>24</v>
      </c>
      <c r="E333" s="8" t="s">
        <v>14</v>
      </c>
      <c r="F333" s="8" t="s">
        <v>22</v>
      </c>
      <c r="G333" s="7">
        <v>9</v>
      </c>
      <c r="H333" s="7">
        <v>22453</v>
      </c>
      <c r="I333" s="7">
        <v>30784</v>
      </c>
      <c r="J333" s="7">
        <f t="shared" si="15"/>
        <v>202077</v>
      </c>
      <c r="K333" s="7">
        <f t="shared" si="16"/>
        <v>277056</v>
      </c>
      <c r="L333" s="8">
        <f t="shared" si="17"/>
        <v>74979</v>
      </c>
    </row>
    <row r="334" spans="1:12" x14ac:dyDescent="0.3">
      <c r="A334" s="8" t="s">
        <v>366</v>
      </c>
      <c r="B334" s="9">
        <v>45259</v>
      </c>
      <c r="C334" s="8" t="s">
        <v>16</v>
      </c>
      <c r="D334" s="8" t="s">
        <v>29</v>
      </c>
      <c r="E334" s="8" t="s">
        <v>14</v>
      </c>
      <c r="F334" s="8" t="s">
        <v>15</v>
      </c>
      <c r="G334" s="7">
        <v>8</v>
      </c>
      <c r="H334" s="7">
        <v>7053</v>
      </c>
      <c r="I334" s="7">
        <v>16102</v>
      </c>
      <c r="J334" s="7">
        <f t="shared" si="15"/>
        <v>56424</v>
      </c>
      <c r="K334" s="7">
        <f t="shared" si="16"/>
        <v>128816</v>
      </c>
      <c r="L334" s="8">
        <f t="shared" si="17"/>
        <v>72392</v>
      </c>
    </row>
    <row r="335" spans="1:12" x14ac:dyDescent="0.3">
      <c r="A335" s="8" t="s">
        <v>367</v>
      </c>
      <c r="B335" s="9">
        <v>45260</v>
      </c>
      <c r="C335" s="8" t="s">
        <v>26</v>
      </c>
      <c r="D335" s="8" t="s">
        <v>29</v>
      </c>
      <c r="E335" s="8" t="s">
        <v>14</v>
      </c>
      <c r="F335" s="8" t="s">
        <v>20</v>
      </c>
      <c r="G335" s="7">
        <v>1</v>
      </c>
      <c r="H335" s="7">
        <v>26743</v>
      </c>
      <c r="I335" s="7">
        <v>32385</v>
      </c>
      <c r="J335" s="7">
        <f t="shared" si="15"/>
        <v>26743</v>
      </c>
      <c r="K335" s="7">
        <f t="shared" si="16"/>
        <v>32385</v>
      </c>
      <c r="L335" s="8">
        <f t="shared" si="17"/>
        <v>5642</v>
      </c>
    </row>
    <row r="336" spans="1:12" x14ac:dyDescent="0.3">
      <c r="A336" s="8" t="s">
        <v>368</v>
      </c>
      <c r="B336" s="9">
        <v>45261</v>
      </c>
      <c r="C336" s="8" t="s">
        <v>23</v>
      </c>
      <c r="D336" s="8" t="s">
        <v>27</v>
      </c>
      <c r="E336" s="8" t="s">
        <v>18</v>
      </c>
      <c r="F336" s="8" t="s">
        <v>28</v>
      </c>
      <c r="G336" s="7">
        <v>9</v>
      </c>
      <c r="H336" s="7">
        <v>31940</v>
      </c>
      <c r="I336" s="7">
        <v>41177</v>
      </c>
      <c r="J336" s="7">
        <f t="shared" si="15"/>
        <v>287460</v>
      </c>
      <c r="K336" s="7">
        <f t="shared" si="16"/>
        <v>370593</v>
      </c>
      <c r="L336" s="8">
        <f t="shared" si="17"/>
        <v>83133</v>
      </c>
    </row>
    <row r="337" spans="1:12" x14ac:dyDescent="0.3">
      <c r="A337" s="8" t="s">
        <v>369</v>
      </c>
      <c r="B337" s="9">
        <v>45262</v>
      </c>
      <c r="C337" s="8" t="s">
        <v>23</v>
      </c>
      <c r="D337" s="8" t="s">
        <v>29</v>
      </c>
      <c r="E337" s="8" t="s">
        <v>18</v>
      </c>
      <c r="F337" s="8" t="s">
        <v>25</v>
      </c>
      <c r="G337" s="7">
        <v>3</v>
      </c>
      <c r="H337" s="7">
        <v>11414</v>
      </c>
      <c r="I337" s="7">
        <v>15330</v>
      </c>
      <c r="J337" s="7">
        <f t="shared" si="15"/>
        <v>34242</v>
      </c>
      <c r="K337" s="7">
        <f t="shared" si="16"/>
        <v>45990</v>
      </c>
      <c r="L337" s="8">
        <f t="shared" si="17"/>
        <v>11748</v>
      </c>
    </row>
    <row r="338" spans="1:12" x14ac:dyDescent="0.3">
      <c r="A338" s="8" t="s">
        <v>370</v>
      </c>
      <c r="B338" s="9">
        <v>45263</v>
      </c>
      <c r="C338" s="8" t="s">
        <v>16</v>
      </c>
      <c r="D338" s="8" t="s">
        <v>17</v>
      </c>
      <c r="E338" s="8" t="s">
        <v>14</v>
      </c>
      <c r="F338" s="8" t="s">
        <v>22</v>
      </c>
      <c r="G338" s="7">
        <v>6</v>
      </c>
      <c r="H338" s="7">
        <v>29348</v>
      </c>
      <c r="I338" s="7">
        <v>31954</v>
      </c>
      <c r="J338" s="7">
        <f t="shared" si="15"/>
        <v>176088</v>
      </c>
      <c r="K338" s="7">
        <f t="shared" si="16"/>
        <v>191724</v>
      </c>
      <c r="L338" s="8">
        <f t="shared" si="17"/>
        <v>15636</v>
      </c>
    </row>
    <row r="339" spans="1:12" x14ac:dyDescent="0.3">
      <c r="A339" s="8" t="s">
        <v>371</v>
      </c>
      <c r="B339" s="9">
        <v>45264</v>
      </c>
      <c r="C339" s="8" t="s">
        <v>26</v>
      </c>
      <c r="D339" s="8" t="s">
        <v>27</v>
      </c>
      <c r="E339" s="8" t="s">
        <v>18</v>
      </c>
      <c r="F339" s="8" t="s">
        <v>28</v>
      </c>
      <c r="G339" s="7">
        <v>9</v>
      </c>
      <c r="H339" s="7">
        <v>35944</v>
      </c>
      <c r="I339" s="7">
        <v>39579</v>
      </c>
      <c r="J339" s="7">
        <f t="shared" si="15"/>
        <v>323496</v>
      </c>
      <c r="K339" s="7">
        <f t="shared" si="16"/>
        <v>356211</v>
      </c>
      <c r="L339" s="8">
        <f t="shared" si="17"/>
        <v>32715</v>
      </c>
    </row>
    <row r="340" spans="1:12" x14ac:dyDescent="0.3">
      <c r="A340" s="8" t="s">
        <v>372</v>
      </c>
      <c r="B340" s="9">
        <v>45265</v>
      </c>
      <c r="C340" s="8" t="s">
        <v>16</v>
      </c>
      <c r="D340" s="8" t="s">
        <v>13</v>
      </c>
      <c r="E340" s="8" t="s">
        <v>14</v>
      </c>
      <c r="F340" s="8" t="s">
        <v>20</v>
      </c>
      <c r="G340" s="7">
        <v>4</v>
      </c>
      <c r="H340" s="7">
        <v>10728</v>
      </c>
      <c r="I340" s="7">
        <v>13095</v>
      </c>
      <c r="J340" s="7">
        <f t="shared" si="15"/>
        <v>42912</v>
      </c>
      <c r="K340" s="7">
        <f t="shared" si="16"/>
        <v>52380</v>
      </c>
      <c r="L340" s="8">
        <f t="shared" si="17"/>
        <v>9468</v>
      </c>
    </row>
    <row r="341" spans="1:12" x14ac:dyDescent="0.3">
      <c r="A341" s="8" t="s">
        <v>373</v>
      </c>
      <c r="B341" s="9">
        <v>45266</v>
      </c>
      <c r="C341" s="8" t="s">
        <v>16</v>
      </c>
      <c r="D341" s="8" t="s">
        <v>17</v>
      </c>
      <c r="E341" s="8" t="s">
        <v>14</v>
      </c>
      <c r="F341" s="8" t="s">
        <v>15</v>
      </c>
      <c r="G341" s="7">
        <v>7</v>
      </c>
      <c r="H341" s="7">
        <v>4640</v>
      </c>
      <c r="I341" s="7">
        <v>6725</v>
      </c>
      <c r="J341" s="7">
        <f t="shared" si="15"/>
        <v>32480</v>
      </c>
      <c r="K341" s="7">
        <f t="shared" si="16"/>
        <v>47075</v>
      </c>
      <c r="L341" s="8">
        <f t="shared" si="17"/>
        <v>14595</v>
      </c>
    </row>
    <row r="342" spans="1:12" x14ac:dyDescent="0.3">
      <c r="A342" s="8" t="s">
        <v>374</v>
      </c>
      <c r="B342" s="9">
        <v>45267</v>
      </c>
      <c r="C342" s="8" t="s">
        <v>26</v>
      </c>
      <c r="D342" s="8" t="s">
        <v>13</v>
      </c>
      <c r="E342" s="8" t="s">
        <v>18</v>
      </c>
      <c r="F342" s="8" t="s">
        <v>25</v>
      </c>
      <c r="G342" s="7">
        <v>9</v>
      </c>
      <c r="H342" s="7">
        <v>10268</v>
      </c>
      <c r="I342" s="7">
        <v>20253</v>
      </c>
      <c r="J342" s="7">
        <f t="shared" si="15"/>
        <v>92412</v>
      </c>
      <c r="K342" s="7">
        <f t="shared" si="16"/>
        <v>182277</v>
      </c>
      <c r="L342" s="8">
        <f t="shared" si="17"/>
        <v>89865</v>
      </c>
    </row>
    <row r="343" spans="1:12" x14ac:dyDescent="0.3">
      <c r="A343" s="8" t="s">
        <v>375</v>
      </c>
      <c r="B343" s="9">
        <v>45268</v>
      </c>
      <c r="C343" s="8" t="s">
        <v>12</v>
      </c>
      <c r="D343" s="8" t="s">
        <v>17</v>
      </c>
      <c r="E343" s="8" t="s">
        <v>18</v>
      </c>
      <c r="F343" s="8" t="s">
        <v>19</v>
      </c>
      <c r="G343" s="7">
        <v>7</v>
      </c>
      <c r="H343" s="7">
        <v>32620</v>
      </c>
      <c r="I343" s="7">
        <v>35560</v>
      </c>
      <c r="J343" s="7">
        <f t="shared" si="15"/>
        <v>228340</v>
      </c>
      <c r="K343" s="7">
        <f t="shared" si="16"/>
        <v>248920</v>
      </c>
      <c r="L343" s="8">
        <f t="shared" si="17"/>
        <v>20580</v>
      </c>
    </row>
    <row r="344" spans="1:12" x14ac:dyDescent="0.3">
      <c r="A344" s="8" t="s">
        <v>376</v>
      </c>
      <c r="B344" s="9">
        <v>45269</v>
      </c>
      <c r="C344" s="8" t="s">
        <v>26</v>
      </c>
      <c r="D344" s="8" t="s">
        <v>29</v>
      </c>
      <c r="E344" s="8" t="s">
        <v>14</v>
      </c>
      <c r="F344" s="8" t="s">
        <v>22</v>
      </c>
      <c r="G344" s="7">
        <v>9</v>
      </c>
      <c r="H344" s="7">
        <v>22858</v>
      </c>
      <c r="I344" s="7">
        <v>27537</v>
      </c>
      <c r="J344" s="7">
        <f t="shared" si="15"/>
        <v>205722</v>
      </c>
      <c r="K344" s="7">
        <f t="shared" si="16"/>
        <v>247833</v>
      </c>
      <c r="L344" s="8">
        <f t="shared" si="17"/>
        <v>42111</v>
      </c>
    </row>
    <row r="345" spans="1:12" x14ac:dyDescent="0.3">
      <c r="A345" s="8" t="s">
        <v>377</v>
      </c>
      <c r="B345" s="9">
        <v>45270</v>
      </c>
      <c r="C345" s="8" t="s">
        <v>12</v>
      </c>
      <c r="D345" s="8" t="s">
        <v>17</v>
      </c>
      <c r="E345" s="8" t="s">
        <v>14</v>
      </c>
      <c r="F345" s="8" t="s">
        <v>22</v>
      </c>
      <c r="G345" s="7">
        <v>9</v>
      </c>
      <c r="H345" s="7">
        <v>9650</v>
      </c>
      <c r="I345" s="7">
        <v>19095</v>
      </c>
      <c r="J345" s="7">
        <f t="shared" si="15"/>
        <v>86850</v>
      </c>
      <c r="K345" s="7">
        <f t="shared" si="16"/>
        <v>171855</v>
      </c>
      <c r="L345" s="8">
        <f t="shared" si="17"/>
        <v>85005</v>
      </c>
    </row>
    <row r="346" spans="1:12" x14ac:dyDescent="0.3">
      <c r="A346" s="8" t="s">
        <v>378</v>
      </c>
      <c r="B346" s="9">
        <v>45271</v>
      </c>
      <c r="C346" s="8" t="s">
        <v>12</v>
      </c>
      <c r="D346" s="8" t="s">
        <v>13</v>
      </c>
      <c r="E346" s="8" t="s">
        <v>18</v>
      </c>
      <c r="F346" s="8" t="s">
        <v>19</v>
      </c>
      <c r="G346" s="7">
        <v>7</v>
      </c>
      <c r="H346" s="7">
        <v>23050</v>
      </c>
      <c r="I346" s="7">
        <v>26386</v>
      </c>
      <c r="J346" s="7">
        <f t="shared" si="15"/>
        <v>161350</v>
      </c>
      <c r="K346" s="7">
        <f t="shared" si="16"/>
        <v>184702</v>
      </c>
      <c r="L346" s="8">
        <f t="shared" si="17"/>
        <v>23352</v>
      </c>
    </row>
    <row r="347" spans="1:12" x14ac:dyDescent="0.3">
      <c r="A347" s="8" t="s">
        <v>379</v>
      </c>
      <c r="B347" s="9">
        <v>45272</v>
      </c>
      <c r="C347" s="8" t="s">
        <v>12</v>
      </c>
      <c r="D347" s="8" t="s">
        <v>27</v>
      </c>
      <c r="E347" s="8" t="s">
        <v>14</v>
      </c>
      <c r="F347" s="8" t="s">
        <v>20</v>
      </c>
      <c r="G347" s="7">
        <v>5</v>
      </c>
      <c r="H347" s="7">
        <v>2278</v>
      </c>
      <c r="I347" s="7">
        <v>10813</v>
      </c>
      <c r="J347" s="7">
        <f t="shared" si="15"/>
        <v>11390</v>
      </c>
      <c r="K347" s="7">
        <f t="shared" si="16"/>
        <v>54065</v>
      </c>
      <c r="L347" s="8">
        <f t="shared" si="17"/>
        <v>42675</v>
      </c>
    </row>
    <row r="348" spans="1:12" x14ac:dyDescent="0.3">
      <c r="A348" s="8" t="s">
        <v>380</v>
      </c>
      <c r="B348" s="9">
        <v>45273</v>
      </c>
      <c r="C348" s="8" t="s">
        <v>16</v>
      </c>
      <c r="D348" s="8" t="s">
        <v>13</v>
      </c>
      <c r="E348" s="8" t="s">
        <v>14</v>
      </c>
      <c r="F348" s="8" t="s">
        <v>22</v>
      </c>
      <c r="G348" s="7">
        <v>2</v>
      </c>
      <c r="H348" s="7">
        <v>31576</v>
      </c>
      <c r="I348" s="7">
        <v>32037</v>
      </c>
      <c r="J348" s="7">
        <f t="shared" si="15"/>
        <v>63152</v>
      </c>
      <c r="K348" s="7">
        <f t="shared" si="16"/>
        <v>64074</v>
      </c>
      <c r="L348" s="8">
        <f t="shared" si="17"/>
        <v>922</v>
      </c>
    </row>
    <row r="349" spans="1:12" x14ac:dyDescent="0.3">
      <c r="A349" s="8" t="s">
        <v>381</v>
      </c>
      <c r="B349" s="9">
        <v>45274</v>
      </c>
      <c r="C349" s="8" t="s">
        <v>12</v>
      </c>
      <c r="D349" s="8" t="s">
        <v>13</v>
      </c>
      <c r="E349" s="8" t="s">
        <v>14</v>
      </c>
      <c r="F349" s="8" t="s">
        <v>20</v>
      </c>
      <c r="G349" s="7">
        <v>1</v>
      </c>
      <c r="H349" s="7">
        <v>31405</v>
      </c>
      <c r="I349" s="7">
        <v>38163</v>
      </c>
      <c r="J349" s="7">
        <f t="shared" si="15"/>
        <v>31405</v>
      </c>
      <c r="K349" s="7">
        <f t="shared" si="16"/>
        <v>38163</v>
      </c>
      <c r="L349" s="8">
        <f t="shared" si="17"/>
        <v>6758</v>
      </c>
    </row>
    <row r="350" spans="1:12" x14ac:dyDescent="0.3">
      <c r="A350" s="8" t="s">
        <v>382</v>
      </c>
      <c r="B350" s="9">
        <v>45275</v>
      </c>
      <c r="C350" s="8" t="s">
        <v>26</v>
      </c>
      <c r="D350" s="8" t="s">
        <v>17</v>
      </c>
      <c r="E350" s="8" t="s">
        <v>14</v>
      </c>
      <c r="F350" s="8" t="s">
        <v>22</v>
      </c>
      <c r="G350" s="7">
        <v>4</v>
      </c>
      <c r="H350" s="7">
        <v>18621</v>
      </c>
      <c r="I350" s="7">
        <v>27256</v>
      </c>
      <c r="J350" s="7">
        <f t="shared" si="15"/>
        <v>74484</v>
      </c>
      <c r="K350" s="7">
        <f t="shared" si="16"/>
        <v>109024</v>
      </c>
      <c r="L350" s="8">
        <f t="shared" si="17"/>
        <v>34540</v>
      </c>
    </row>
    <row r="351" spans="1:12" x14ac:dyDescent="0.3">
      <c r="A351" s="8" t="s">
        <v>383</v>
      </c>
      <c r="B351" s="9">
        <v>45276</v>
      </c>
      <c r="C351" s="8" t="s">
        <v>23</v>
      </c>
      <c r="D351" s="8" t="s">
        <v>21</v>
      </c>
      <c r="E351" s="8" t="s">
        <v>18</v>
      </c>
      <c r="F351" s="8" t="s">
        <v>19</v>
      </c>
      <c r="G351" s="7">
        <v>3</v>
      </c>
      <c r="H351" s="7">
        <v>33463</v>
      </c>
      <c r="I351" s="7">
        <v>39589</v>
      </c>
      <c r="J351" s="7">
        <f t="shared" si="15"/>
        <v>100389</v>
      </c>
      <c r="K351" s="7">
        <f t="shared" si="16"/>
        <v>118767</v>
      </c>
      <c r="L351" s="8">
        <f t="shared" si="17"/>
        <v>18378</v>
      </c>
    </row>
    <row r="352" spans="1:12" x14ac:dyDescent="0.3">
      <c r="A352" s="8" t="s">
        <v>384</v>
      </c>
      <c r="B352" s="9">
        <v>45277</v>
      </c>
      <c r="C352" s="8" t="s">
        <v>16</v>
      </c>
      <c r="D352" s="8" t="s">
        <v>17</v>
      </c>
      <c r="E352" s="8" t="s">
        <v>14</v>
      </c>
      <c r="F352" s="8" t="s">
        <v>22</v>
      </c>
      <c r="G352" s="7">
        <v>2</v>
      </c>
      <c r="H352" s="7">
        <v>24639</v>
      </c>
      <c r="I352" s="7">
        <v>33085</v>
      </c>
      <c r="J352" s="7">
        <f t="shared" si="15"/>
        <v>49278</v>
      </c>
      <c r="K352" s="7">
        <f t="shared" si="16"/>
        <v>66170</v>
      </c>
      <c r="L352" s="8">
        <f t="shared" si="17"/>
        <v>16892</v>
      </c>
    </row>
    <row r="353" spans="1:12" x14ac:dyDescent="0.3">
      <c r="A353" s="8" t="s">
        <v>385</v>
      </c>
      <c r="B353" s="9">
        <v>45278</v>
      </c>
      <c r="C353" s="8" t="s">
        <v>26</v>
      </c>
      <c r="D353" s="8" t="s">
        <v>13</v>
      </c>
      <c r="E353" s="8" t="s">
        <v>18</v>
      </c>
      <c r="F353" s="8" t="s">
        <v>25</v>
      </c>
      <c r="G353" s="7">
        <v>10</v>
      </c>
      <c r="H353" s="7">
        <v>38923</v>
      </c>
      <c r="I353" s="7">
        <v>47511</v>
      </c>
      <c r="J353" s="7">
        <f t="shared" si="15"/>
        <v>389230</v>
      </c>
      <c r="K353" s="7">
        <f t="shared" si="16"/>
        <v>475110</v>
      </c>
      <c r="L353" s="8">
        <f t="shared" si="17"/>
        <v>85880</v>
      </c>
    </row>
    <row r="354" spans="1:12" x14ac:dyDescent="0.3">
      <c r="A354" s="8" t="s">
        <v>386</v>
      </c>
      <c r="B354" s="9">
        <v>45279</v>
      </c>
      <c r="C354" s="8" t="s">
        <v>12</v>
      </c>
      <c r="D354" s="8" t="s">
        <v>17</v>
      </c>
      <c r="E354" s="8" t="s">
        <v>18</v>
      </c>
      <c r="F354" s="8" t="s">
        <v>25</v>
      </c>
      <c r="G354" s="7">
        <v>5</v>
      </c>
      <c r="H354" s="7">
        <v>26245</v>
      </c>
      <c r="I354" s="7">
        <v>32922</v>
      </c>
      <c r="J354" s="7">
        <f t="shared" si="15"/>
        <v>131225</v>
      </c>
      <c r="K354" s="7">
        <f t="shared" si="16"/>
        <v>164610</v>
      </c>
      <c r="L354" s="8">
        <f t="shared" si="17"/>
        <v>33385</v>
      </c>
    </row>
    <row r="355" spans="1:12" x14ac:dyDescent="0.3">
      <c r="A355" s="8" t="s">
        <v>387</v>
      </c>
      <c r="B355" s="9">
        <v>45280</v>
      </c>
      <c r="C355" s="8" t="s">
        <v>16</v>
      </c>
      <c r="D355" s="8" t="s">
        <v>21</v>
      </c>
      <c r="E355" s="8" t="s">
        <v>14</v>
      </c>
      <c r="F355" s="8" t="s">
        <v>20</v>
      </c>
      <c r="G355" s="7">
        <v>10</v>
      </c>
      <c r="H355" s="7">
        <v>15199</v>
      </c>
      <c r="I355" s="7">
        <v>18732</v>
      </c>
      <c r="J355" s="7">
        <f t="shared" si="15"/>
        <v>151990</v>
      </c>
      <c r="K355" s="7">
        <f t="shared" si="16"/>
        <v>187320</v>
      </c>
      <c r="L355" s="8">
        <f t="shared" si="17"/>
        <v>35330</v>
      </c>
    </row>
    <row r="356" spans="1:12" x14ac:dyDescent="0.3">
      <c r="A356" s="8" t="s">
        <v>388</v>
      </c>
      <c r="B356" s="9">
        <v>45281</v>
      </c>
      <c r="C356" s="8" t="s">
        <v>16</v>
      </c>
      <c r="D356" s="8" t="s">
        <v>29</v>
      </c>
      <c r="E356" s="8" t="s">
        <v>18</v>
      </c>
      <c r="F356" s="8" t="s">
        <v>25</v>
      </c>
      <c r="G356" s="7">
        <v>8</v>
      </c>
      <c r="H356" s="7">
        <v>12818</v>
      </c>
      <c r="I356" s="7">
        <v>15686</v>
      </c>
      <c r="J356" s="7">
        <f t="shared" si="15"/>
        <v>102544</v>
      </c>
      <c r="K356" s="7">
        <f t="shared" si="16"/>
        <v>125488</v>
      </c>
      <c r="L356" s="8">
        <f t="shared" si="17"/>
        <v>22944</v>
      </c>
    </row>
    <row r="357" spans="1:12" x14ac:dyDescent="0.3">
      <c r="A357" s="8" t="s">
        <v>389</v>
      </c>
      <c r="B357" s="9">
        <v>45282</v>
      </c>
      <c r="C357" s="8" t="s">
        <v>16</v>
      </c>
      <c r="D357" s="8" t="s">
        <v>17</v>
      </c>
      <c r="E357" s="8" t="s">
        <v>14</v>
      </c>
      <c r="F357" s="8" t="s">
        <v>22</v>
      </c>
      <c r="G357" s="7">
        <v>2</v>
      </c>
      <c r="H357" s="7">
        <v>15044</v>
      </c>
      <c r="I357" s="7">
        <v>22854</v>
      </c>
      <c r="J357" s="7">
        <f t="shared" si="15"/>
        <v>30088</v>
      </c>
      <c r="K357" s="7">
        <f t="shared" si="16"/>
        <v>45708</v>
      </c>
      <c r="L357" s="8">
        <f t="shared" si="17"/>
        <v>15620</v>
      </c>
    </row>
    <row r="358" spans="1:12" x14ac:dyDescent="0.3">
      <c r="A358" s="8" t="s">
        <v>390</v>
      </c>
      <c r="B358" s="9">
        <v>45283</v>
      </c>
      <c r="C358" s="8" t="s">
        <v>26</v>
      </c>
      <c r="D358" s="8" t="s">
        <v>21</v>
      </c>
      <c r="E358" s="8" t="s">
        <v>14</v>
      </c>
      <c r="F358" s="8" t="s">
        <v>15</v>
      </c>
      <c r="G358" s="7">
        <v>3</v>
      </c>
      <c r="H358" s="7">
        <v>37438</v>
      </c>
      <c r="I358" s="7">
        <v>40026</v>
      </c>
      <c r="J358" s="7">
        <f t="shared" si="15"/>
        <v>112314</v>
      </c>
      <c r="K358" s="7">
        <f t="shared" si="16"/>
        <v>120078</v>
      </c>
      <c r="L358" s="8">
        <f t="shared" si="17"/>
        <v>7764</v>
      </c>
    </row>
    <row r="359" spans="1:12" x14ac:dyDescent="0.3">
      <c r="A359" s="8" t="s">
        <v>391</v>
      </c>
      <c r="B359" s="9">
        <v>45284</v>
      </c>
      <c r="C359" s="8" t="s">
        <v>12</v>
      </c>
      <c r="D359" s="8" t="s">
        <v>21</v>
      </c>
      <c r="E359" s="8" t="s">
        <v>18</v>
      </c>
      <c r="F359" s="8" t="s">
        <v>28</v>
      </c>
      <c r="G359" s="7">
        <v>5</v>
      </c>
      <c r="H359" s="7">
        <v>26503</v>
      </c>
      <c r="I359" s="7">
        <v>35002</v>
      </c>
      <c r="J359" s="7">
        <f t="shared" si="15"/>
        <v>132515</v>
      </c>
      <c r="K359" s="7">
        <f t="shared" si="16"/>
        <v>175010</v>
      </c>
      <c r="L359" s="8">
        <f t="shared" si="17"/>
        <v>42495</v>
      </c>
    </row>
    <row r="360" spans="1:12" x14ac:dyDescent="0.3">
      <c r="A360" s="8" t="s">
        <v>392</v>
      </c>
      <c r="B360" s="9">
        <v>45285</v>
      </c>
      <c r="C360" s="8" t="s">
        <v>16</v>
      </c>
      <c r="D360" s="8" t="s">
        <v>27</v>
      </c>
      <c r="E360" s="8" t="s">
        <v>18</v>
      </c>
      <c r="F360" s="8" t="s">
        <v>25</v>
      </c>
      <c r="G360" s="7">
        <v>3</v>
      </c>
      <c r="H360" s="7">
        <v>10387</v>
      </c>
      <c r="I360" s="7">
        <v>13664</v>
      </c>
      <c r="J360" s="7">
        <f t="shared" si="15"/>
        <v>31161</v>
      </c>
      <c r="K360" s="7">
        <f t="shared" si="16"/>
        <v>40992</v>
      </c>
      <c r="L360" s="8">
        <f t="shared" si="17"/>
        <v>9831</v>
      </c>
    </row>
    <row r="361" spans="1:12" x14ac:dyDescent="0.3">
      <c r="A361" s="8" t="s">
        <v>393</v>
      </c>
      <c r="B361" s="9">
        <v>45286</v>
      </c>
      <c r="C361" s="8" t="s">
        <v>16</v>
      </c>
      <c r="D361" s="8" t="s">
        <v>27</v>
      </c>
      <c r="E361" s="8" t="s">
        <v>14</v>
      </c>
      <c r="F361" s="8" t="s">
        <v>20</v>
      </c>
      <c r="G361" s="7">
        <v>5</v>
      </c>
      <c r="H361" s="7">
        <v>20203</v>
      </c>
      <c r="I361" s="7">
        <v>27971</v>
      </c>
      <c r="J361" s="7">
        <f t="shared" si="15"/>
        <v>101015</v>
      </c>
      <c r="K361" s="7">
        <f t="shared" si="16"/>
        <v>139855</v>
      </c>
      <c r="L361" s="8">
        <f t="shared" si="17"/>
        <v>38840</v>
      </c>
    </row>
    <row r="362" spans="1:12" x14ac:dyDescent="0.3">
      <c r="A362" s="8" t="s">
        <v>394</v>
      </c>
      <c r="B362" s="9">
        <v>45287</v>
      </c>
      <c r="C362" s="8" t="s">
        <v>16</v>
      </c>
      <c r="D362" s="8" t="s">
        <v>17</v>
      </c>
      <c r="E362" s="8" t="s">
        <v>14</v>
      </c>
      <c r="F362" s="8" t="s">
        <v>20</v>
      </c>
      <c r="G362" s="7">
        <v>8</v>
      </c>
      <c r="H362" s="7">
        <v>7947</v>
      </c>
      <c r="I362" s="7">
        <v>12937</v>
      </c>
      <c r="J362" s="7">
        <f t="shared" si="15"/>
        <v>63576</v>
      </c>
      <c r="K362" s="7">
        <f t="shared" si="16"/>
        <v>103496</v>
      </c>
      <c r="L362" s="8">
        <f t="shared" si="17"/>
        <v>39920</v>
      </c>
    </row>
    <row r="363" spans="1:12" x14ac:dyDescent="0.3">
      <c r="A363" s="8" t="s">
        <v>395</v>
      </c>
      <c r="B363" s="9">
        <v>45288</v>
      </c>
      <c r="C363" s="8" t="s">
        <v>23</v>
      </c>
      <c r="D363" s="8" t="s">
        <v>17</v>
      </c>
      <c r="E363" s="8" t="s">
        <v>14</v>
      </c>
      <c r="F363" s="8" t="s">
        <v>22</v>
      </c>
      <c r="G363" s="7">
        <v>9</v>
      </c>
      <c r="H363" s="7">
        <v>2060</v>
      </c>
      <c r="I363" s="7">
        <v>5382</v>
      </c>
      <c r="J363" s="7">
        <f t="shared" si="15"/>
        <v>18540</v>
      </c>
      <c r="K363" s="7">
        <f t="shared" si="16"/>
        <v>48438</v>
      </c>
      <c r="L363" s="8">
        <f t="shared" si="17"/>
        <v>29898</v>
      </c>
    </row>
    <row r="364" spans="1:12" x14ac:dyDescent="0.3">
      <c r="A364" s="8" t="s">
        <v>396</v>
      </c>
      <c r="B364" s="9">
        <v>45289</v>
      </c>
      <c r="C364" s="8" t="s">
        <v>23</v>
      </c>
      <c r="D364" s="8" t="s">
        <v>13</v>
      </c>
      <c r="E364" s="8" t="s">
        <v>14</v>
      </c>
      <c r="F364" s="8" t="s">
        <v>20</v>
      </c>
      <c r="G364" s="7">
        <v>8</v>
      </c>
      <c r="H364" s="7">
        <v>6390</v>
      </c>
      <c r="I364" s="7">
        <v>14530</v>
      </c>
      <c r="J364" s="7">
        <f t="shared" si="15"/>
        <v>51120</v>
      </c>
      <c r="K364" s="7">
        <f t="shared" si="16"/>
        <v>116240</v>
      </c>
      <c r="L364" s="8">
        <f t="shared" si="17"/>
        <v>65120</v>
      </c>
    </row>
    <row r="365" spans="1:12" x14ac:dyDescent="0.3">
      <c r="A365" s="8" t="s">
        <v>397</v>
      </c>
      <c r="B365" s="9">
        <v>45290</v>
      </c>
      <c r="C365" s="8" t="s">
        <v>16</v>
      </c>
      <c r="D365" s="8" t="s">
        <v>21</v>
      </c>
      <c r="E365" s="8" t="s">
        <v>18</v>
      </c>
      <c r="F365" s="8" t="s">
        <v>19</v>
      </c>
      <c r="G365" s="7">
        <v>9</v>
      </c>
      <c r="H365" s="7">
        <v>38898</v>
      </c>
      <c r="I365" s="7">
        <v>41255</v>
      </c>
      <c r="J365" s="7">
        <f t="shared" si="15"/>
        <v>350082</v>
      </c>
      <c r="K365" s="7">
        <f t="shared" si="16"/>
        <v>371295</v>
      </c>
      <c r="L365" s="8">
        <f t="shared" si="17"/>
        <v>21213</v>
      </c>
    </row>
    <row r="366" spans="1:12" x14ac:dyDescent="0.3">
      <c r="A366" s="8" t="s">
        <v>398</v>
      </c>
      <c r="B366" s="9">
        <v>45291</v>
      </c>
      <c r="C366" s="8" t="s">
        <v>16</v>
      </c>
      <c r="D366" s="8" t="s">
        <v>17</v>
      </c>
      <c r="E366" s="8" t="s">
        <v>14</v>
      </c>
      <c r="F366" s="8" t="s">
        <v>20</v>
      </c>
      <c r="G366" s="7">
        <v>8</v>
      </c>
      <c r="H366" s="7">
        <v>25723</v>
      </c>
      <c r="I366" s="7">
        <v>34669</v>
      </c>
      <c r="J366" s="7">
        <f t="shared" si="15"/>
        <v>205784</v>
      </c>
      <c r="K366" s="7">
        <f t="shared" si="16"/>
        <v>277352</v>
      </c>
      <c r="L366" s="8">
        <f t="shared" si="17"/>
        <v>71568</v>
      </c>
    </row>
    <row r="367" spans="1:12" x14ac:dyDescent="0.3">
      <c r="A367" s="8" t="s">
        <v>399</v>
      </c>
      <c r="B367" s="9">
        <v>45292</v>
      </c>
      <c r="C367" s="8" t="s">
        <v>16</v>
      </c>
      <c r="D367" s="8" t="s">
        <v>29</v>
      </c>
      <c r="E367" s="8" t="s">
        <v>18</v>
      </c>
      <c r="F367" s="8" t="s">
        <v>19</v>
      </c>
      <c r="G367" s="7">
        <v>1</v>
      </c>
      <c r="H367" s="7">
        <v>6998</v>
      </c>
      <c r="I367" s="7">
        <v>9331</v>
      </c>
      <c r="J367" s="7">
        <f t="shared" si="15"/>
        <v>6998</v>
      </c>
      <c r="K367" s="7">
        <f t="shared" si="16"/>
        <v>9331</v>
      </c>
      <c r="L367" s="8">
        <f t="shared" si="17"/>
        <v>2333</v>
      </c>
    </row>
    <row r="368" spans="1:12" x14ac:dyDescent="0.3">
      <c r="A368" s="8" t="s">
        <v>400</v>
      </c>
      <c r="B368" s="9">
        <v>45293</v>
      </c>
      <c r="C368" s="8" t="s">
        <v>26</v>
      </c>
      <c r="D368" s="8" t="s">
        <v>27</v>
      </c>
      <c r="E368" s="8" t="s">
        <v>18</v>
      </c>
      <c r="F368" s="8" t="s">
        <v>28</v>
      </c>
      <c r="G368" s="7">
        <v>3</v>
      </c>
      <c r="H368" s="7">
        <v>5076</v>
      </c>
      <c r="I368" s="7">
        <v>14959</v>
      </c>
      <c r="J368" s="7">
        <f t="shared" si="15"/>
        <v>15228</v>
      </c>
      <c r="K368" s="7">
        <f t="shared" si="16"/>
        <v>44877</v>
      </c>
      <c r="L368" s="8">
        <f t="shared" si="17"/>
        <v>29649</v>
      </c>
    </row>
    <row r="369" spans="1:12" x14ac:dyDescent="0.3">
      <c r="A369" s="8" t="s">
        <v>401</v>
      </c>
      <c r="B369" s="9">
        <v>45294</v>
      </c>
      <c r="C369" s="8" t="s">
        <v>16</v>
      </c>
      <c r="D369" s="8" t="s">
        <v>17</v>
      </c>
      <c r="E369" s="8" t="s">
        <v>18</v>
      </c>
      <c r="F369" s="8" t="s">
        <v>25</v>
      </c>
      <c r="G369" s="7">
        <v>8</v>
      </c>
      <c r="H369" s="7">
        <v>2537</v>
      </c>
      <c r="I369" s="7">
        <v>2939</v>
      </c>
      <c r="J369" s="7">
        <f t="shared" si="15"/>
        <v>20296</v>
      </c>
      <c r="K369" s="7">
        <f t="shared" si="16"/>
        <v>23512</v>
      </c>
      <c r="L369" s="8">
        <f t="shared" si="17"/>
        <v>3216</v>
      </c>
    </row>
    <row r="370" spans="1:12" x14ac:dyDescent="0.3">
      <c r="A370" s="8" t="s">
        <v>402</v>
      </c>
      <c r="B370" s="9">
        <v>45295</v>
      </c>
      <c r="C370" s="8" t="s">
        <v>23</v>
      </c>
      <c r="D370" s="8" t="s">
        <v>24</v>
      </c>
      <c r="E370" s="8" t="s">
        <v>14</v>
      </c>
      <c r="F370" s="8" t="s">
        <v>22</v>
      </c>
      <c r="G370" s="7">
        <v>6</v>
      </c>
      <c r="H370" s="7">
        <v>31028</v>
      </c>
      <c r="I370" s="7">
        <v>34895</v>
      </c>
      <c r="J370" s="7">
        <f t="shared" si="15"/>
        <v>186168</v>
      </c>
      <c r="K370" s="7">
        <f t="shared" si="16"/>
        <v>209370</v>
      </c>
      <c r="L370" s="8">
        <f t="shared" si="17"/>
        <v>23202</v>
      </c>
    </row>
    <row r="371" spans="1:12" x14ac:dyDescent="0.3">
      <c r="A371" s="8" t="s">
        <v>403</v>
      </c>
      <c r="B371" s="9">
        <v>45296</v>
      </c>
      <c r="C371" s="8" t="s">
        <v>16</v>
      </c>
      <c r="D371" s="8" t="s">
        <v>21</v>
      </c>
      <c r="E371" s="8" t="s">
        <v>14</v>
      </c>
      <c r="F371" s="8" t="s">
        <v>22</v>
      </c>
      <c r="G371" s="7">
        <v>4</v>
      </c>
      <c r="H371" s="7">
        <v>2728</v>
      </c>
      <c r="I371" s="7">
        <v>12579</v>
      </c>
      <c r="J371" s="7">
        <f t="shared" si="15"/>
        <v>10912</v>
      </c>
      <c r="K371" s="7">
        <f t="shared" si="16"/>
        <v>50316</v>
      </c>
      <c r="L371" s="8">
        <f t="shared" si="17"/>
        <v>39404</v>
      </c>
    </row>
    <row r="372" spans="1:12" x14ac:dyDescent="0.3">
      <c r="A372" s="8" t="s">
        <v>404</v>
      </c>
      <c r="B372" s="9">
        <v>45297</v>
      </c>
      <c r="C372" s="8" t="s">
        <v>16</v>
      </c>
      <c r="D372" s="8" t="s">
        <v>13</v>
      </c>
      <c r="E372" s="8" t="s">
        <v>14</v>
      </c>
      <c r="F372" s="8" t="s">
        <v>20</v>
      </c>
      <c r="G372" s="7">
        <v>9</v>
      </c>
      <c r="H372" s="7">
        <v>30549</v>
      </c>
      <c r="I372" s="7">
        <v>33539</v>
      </c>
      <c r="J372" s="7">
        <f t="shared" si="15"/>
        <v>274941</v>
      </c>
      <c r="K372" s="7">
        <f t="shared" si="16"/>
        <v>301851</v>
      </c>
      <c r="L372" s="8">
        <f t="shared" si="17"/>
        <v>26910</v>
      </c>
    </row>
    <row r="373" spans="1:12" x14ac:dyDescent="0.3">
      <c r="A373" s="8" t="s">
        <v>405</v>
      </c>
      <c r="B373" s="9">
        <v>45298</v>
      </c>
      <c r="C373" s="8" t="s">
        <v>16</v>
      </c>
      <c r="D373" s="8" t="s">
        <v>17</v>
      </c>
      <c r="E373" s="8" t="s">
        <v>18</v>
      </c>
      <c r="F373" s="8" t="s">
        <v>19</v>
      </c>
      <c r="G373" s="7">
        <v>2</v>
      </c>
      <c r="H373" s="7">
        <v>34009</v>
      </c>
      <c r="I373" s="7">
        <v>39010</v>
      </c>
      <c r="J373" s="7">
        <f t="shared" si="15"/>
        <v>68018</v>
      </c>
      <c r="K373" s="7">
        <f t="shared" si="16"/>
        <v>78020</v>
      </c>
      <c r="L373" s="8">
        <f t="shared" si="17"/>
        <v>10002</v>
      </c>
    </row>
    <row r="374" spans="1:12" x14ac:dyDescent="0.3">
      <c r="A374" s="8" t="s">
        <v>406</v>
      </c>
      <c r="B374" s="9">
        <v>45299</v>
      </c>
      <c r="C374" s="8" t="s">
        <v>12</v>
      </c>
      <c r="D374" s="8" t="s">
        <v>13</v>
      </c>
      <c r="E374" s="8" t="s">
        <v>14</v>
      </c>
      <c r="F374" s="8" t="s">
        <v>15</v>
      </c>
      <c r="G374" s="7">
        <v>3</v>
      </c>
      <c r="H374" s="7">
        <v>30558</v>
      </c>
      <c r="I374" s="7">
        <v>32438</v>
      </c>
      <c r="J374" s="7">
        <f t="shared" si="15"/>
        <v>91674</v>
      </c>
      <c r="K374" s="7">
        <f t="shared" si="16"/>
        <v>97314</v>
      </c>
      <c r="L374" s="8">
        <f t="shared" si="17"/>
        <v>5640</v>
      </c>
    </row>
    <row r="375" spans="1:12" x14ac:dyDescent="0.3">
      <c r="A375" s="8" t="s">
        <v>407</v>
      </c>
      <c r="B375" s="9">
        <v>45300</v>
      </c>
      <c r="C375" s="8" t="s">
        <v>26</v>
      </c>
      <c r="D375" s="8" t="s">
        <v>24</v>
      </c>
      <c r="E375" s="8" t="s">
        <v>18</v>
      </c>
      <c r="F375" s="8" t="s">
        <v>28</v>
      </c>
      <c r="G375" s="7">
        <v>3</v>
      </c>
      <c r="H375" s="7">
        <v>35038</v>
      </c>
      <c r="I375" s="7">
        <v>35770</v>
      </c>
      <c r="J375" s="7">
        <f t="shared" si="15"/>
        <v>105114</v>
      </c>
      <c r="K375" s="7">
        <f t="shared" si="16"/>
        <v>107310</v>
      </c>
      <c r="L375" s="8">
        <f t="shared" si="17"/>
        <v>2196</v>
      </c>
    </row>
    <row r="376" spans="1:12" x14ac:dyDescent="0.3">
      <c r="A376" s="8" t="s">
        <v>408</v>
      </c>
      <c r="B376" s="9">
        <v>45301</v>
      </c>
      <c r="C376" s="8" t="s">
        <v>23</v>
      </c>
      <c r="D376" s="8" t="s">
        <v>27</v>
      </c>
      <c r="E376" s="8" t="s">
        <v>18</v>
      </c>
      <c r="F376" s="8" t="s">
        <v>28</v>
      </c>
      <c r="G376" s="7">
        <v>3</v>
      </c>
      <c r="H376" s="7">
        <v>24443</v>
      </c>
      <c r="I376" s="7">
        <v>29661</v>
      </c>
      <c r="J376" s="7">
        <f t="shared" si="15"/>
        <v>73329</v>
      </c>
      <c r="K376" s="7">
        <f t="shared" si="16"/>
        <v>88983</v>
      </c>
      <c r="L376" s="8">
        <f t="shared" si="17"/>
        <v>15654</v>
      </c>
    </row>
    <row r="377" spans="1:12" x14ac:dyDescent="0.3">
      <c r="A377" s="8" t="s">
        <v>409</v>
      </c>
      <c r="B377" s="9">
        <v>45302</v>
      </c>
      <c r="C377" s="8" t="s">
        <v>23</v>
      </c>
      <c r="D377" s="8" t="s">
        <v>13</v>
      </c>
      <c r="E377" s="8" t="s">
        <v>18</v>
      </c>
      <c r="F377" s="8" t="s">
        <v>19</v>
      </c>
      <c r="G377" s="7">
        <v>6</v>
      </c>
      <c r="H377" s="7">
        <v>12654</v>
      </c>
      <c r="I377" s="7">
        <v>17365</v>
      </c>
      <c r="J377" s="7">
        <f t="shared" si="15"/>
        <v>75924</v>
      </c>
      <c r="K377" s="7">
        <f t="shared" si="16"/>
        <v>104190</v>
      </c>
      <c r="L377" s="8">
        <f t="shared" si="17"/>
        <v>28266</v>
      </c>
    </row>
    <row r="378" spans="1:12" x14ac:dyDescent="0.3">
      <c r="A378" s="8" t="s">
        <v>410</v>
      </c>
      <c r="B378" s="9">
        <v>45303</v>
      </c>
      <c r="C378" s="8" t="s">
        <v>12</v>
      </c>
      <c r="D378" s="8" t="s">
        <v>27</v>
      </c>
      <c r="E378" s="8" t="s">
        <v>14</v>
      </c>
      <c r="F378" s="8" t="s">
        <v>15</v>
      </c>
      <c r="G378" s="7">
        <v>7</v>
      </c>
      <c r="H378" s="7">
        <v>30937</v>
      </c>
      <c r="I378" s="7">
        <v>36858</v>
      </c>
      <c r="J378" s="7">
        <f t="shared" si="15"/>
        <v>216559</v>
      </c>
      <c r="K378" s="7">
        <f t="shared" si="16"/>
        <v>258006</v>
      </c>
      <c r="L378" s="8">
        <f t="shared" si="17"/>
        <v>41447</v>
      </c>
    </row>
    <row r="379" spans="1:12" x14ac:dyDescent="0.3">
      <c r="A379" s="8" t="s">
        <v>411</v>
      </c>
      <c r="B379" s="9">
        <v>45304</v>
      </c>
      <c r="C379" s="8" t="s">
        <v>16</v>
      </c>
      <c r="D379" s="8" t="s">
        <v>29</v>
      </c>
      <c r="E379" s="8" t="s">
        <v>14</v>
      </c>
      <c r="F379" s="8" t="s">
        <v>22</v>
      </c>
      <c r="G379" s="7">
        <v>6</v>
      </c>
      <c r="H379" s="7">
        <v>39139</v>
      </c>
      <c r="I379" s="7">
        <v>43375</v>
      </c>
      <c r="J379" s="7">
        <f t="shared" si="15"/>
        <v>234834</v>
      </c>
      <c r="K379" s="7">
        <f t="shared" si="16"/>
        <v>260250</v>
      </c>
      <c r="L379" s="8">
        <f t="shared" si="17"/>
        <v>25416</v>
      </c>
    </row>
    <row r="380" spans="1:12" x14ac:dyDescent="0.3">
      <c r="A380" s="8" t="s">
        <v>412</v>
      </c>
      <c r="B380" s="9">
        <v>45305</v>
      </c>
      <c r="C380" s="8" t="s">
        <v>12</v>
      </c>
      <c r="D380" s="8" t="s">
        <v>13</v>
      </c>
      <c r="E380" s="8" t="s">
        <v>18</v>
      </c>
      <c r="F380" s="8" t="s">
        <v>25</v>
      </c>
      <c r="G380" s="7">
        <v>6</v>
      </c>
      <c r="H380" s="7">
        <v>29642</v>
      </c>
      <c r="I380" s="7">
        <v>33246</v>
      </c>
      <c r="J380" s="7">
        <f t="shared" si="15"/>
        <v>177852</v>
      </c>
      <c r="K380" s="7">
        <f t="shared" si="16"/>
        <v>199476</v>
      </c>
      <c r="L380" s="8">
        <f t="shared" si="17"/>
        <v>21624</v>
      </c>
    </row>
    <row r="381" spans="1:12" x14ac:dyDescent="0.3">
      <c r="A381" s="8" t="s">
        <v>413</v>
      </c>
      <c r="B381" s="9">
        <v>45306</v>
      </c>
      <c r="C381" s="8" t="s">
        <v>16</v>
      </c>
      <c r="D381" s="8" t="s">
        <v>27</v>
      </c>
      <c r="E381" s="8" t="s">
        <v>18</v>
      </c>
      <c r="F381" s="8" t="s">
        <v>28</v>
      </c>
      <c r="G381" s="7">
        <v>6</v>
      </c>
      <c r="H381" s="7">
        <v>20154</v>
      </c>
      <c r="I381" s="7">
        <v>25640</v>
      </c>
      <c r="J381" s="7">
        <f t="shared" si="15"/>
        <v>120924</v>
      </c>
      <c r="K381" s="7">
        <f t="shared" si="16"/>
        <v>153840</v>
      </c>
      <c r="L381" s="8">
        <f t="shared" si="17"/>
        <v>32916</v>
      </c>
    </row>
    <row r="382" spans="1:12" x14ac:dyDescent="0.3">
      <c r="A382" s="8" t="s">
        <v>414</v>
      </c>
      <c r="B382" s="9">
        <v>45307</v>
      </c>
      <c r="C382" s="8" t="s">
        <v>16</v>
      </c>
      <c r="D382" s="8" t="s">
        <v>29</v>
      </c>
      <c r="E382" s="8" t="s">
        <v>18</v>
      </c>
      <c r="F382" s="8" t="s">
        <v>28</v>
      </c>
      <c r="G382" s="7">
        <v>3</v>
      </c>
      <c r="H382" s="7">
        <v>18997</v>
      </c>
      <c r="I382" s="7">
        <v>25919</v>
      </c>
      <c r="J382" s="7">
        <f t="shared" si="15"/>
        <v>56991</v>
      </c>
      <c r="K382" s="7">
        <f t="shared" si="16"/>
        <v>77757</v>
      </c>
      <c r="L382" s="8">
        <f t="shared" si="17"/>
        <v>20766</v>
      </c>
    </row>
    <row r="383" spans="1:12" x14ac:dyDescent="0.3">
      <c r="A383" s="8" t="s">
        <v>415</v>
      </c>
      <c r="B383" s="9">
        <v>45308</v>
      </c>
      <c r="C383" s="8" t="s">
        <v>12</v>
      </c>
      <c r="D383" s="8" t="s">
        <v>13</v>
      </c>
      <c r="E383" s="8" t="s">
        <v>18</v>
      </c>
      <c r="F383" s="8" t="s">
        <v>25</v>
      </c>
      <c r="G383" s="7">
        <v>5</v>
      </c>
      <c r="H383" s="7">
        <v>4736</v>
      </c>
      <c r="I383" s="7">
        <v>5968</v>
      </c>
      <c r="J383" s="7">
        <f t="shared" si="15"/>
        <v>23680</v>
      </c>
      <c r="K383" s="7">
        <f t="shared" si="16"/>
        <v>29840</v>
      </c>
      <c r="L383" s="8">
        <f t="shared" si="17"/>
        <v>6160</v>
      </c>
    </row>
    <row r="384" spans="1:12" x14ac:dyDescent="0.3">
      <c r="A384" s="8" t="s">
        <v>416</v>
      </c>
      <c r="B384" s="9">
        <v>45309</v>
      </c>
      <c r="C384" s="8" t="s">
        <v>23</v>
      </c>
      <c r="D384" s="8" t="s">
        <v>17</v>
      </c>
      <c r="E384" s="8" t="s">
        <v>14</v>
      </c>
      <c r="F384" s="8" t="s">
        <v>20</v>
      </c>
      <c r="G384" s="7">
        <v>7</v>
      </c>
      <c r="H384" s="7">
        <v>4073</v>
      </c>
      <c r="I384" s="7">
        <v>10914</v>
      </c>
      <c r="J384" s="7">
        <f t="shared" si="15"/>
        <v>28511</v>
      </c>
      <c r="K384" s="7">
        <f t="shared" si="16"/>
        <v>76398</v>
      </c>
      <c r="L384" s="8">
        <f t="shared" si="17"/>
        <v>47887</v>
      </c>
    </row>
    <row r="385" spans="1:12" x14ac:dyDescent="0.3">
      <c r="A385" s="8" t="s">
        <v>417</v>
      </c>
      <c r="B385" s="9">
        <v>45310</v>
      </c>
      <c r="C385" s="8" t="s">
        <v>12</v>
      </c>
      <c r="D385" s="8" t="s">
        <v>21</v>
      </c>
      <c r="E385" s="8" t="s">
        <v>18</v>
      </c>
      <c r="F385" s="8" t="s">
        <v>25</v>
      </c>
      <c r="G385" s="7">
        <v>9</v>
      </c>
      <c r="H385" s="7">
        <v>33144</v>
      </c>
      <c r="I385" s="7">
        <v>37652</v>
      </c>
      <c r="J385" s="7">
        <f t="shared" si="15"/>
        <v>298296</v>
      </c>
      <c r="K385" s="7">
        <f t="shared" si="16"/>
        <v>338868</v>
      </c>
      <c r="L385" s="8">
        <f t="shared" si="17"/>
        <v>40572</v>
      </c>
    </row>
    <row r="386" spans="1:12" x14ac:dyDescent="0.3">
      <c r="A386" s="8" t="s">
        <v>418</v>
      </c>
      <c r="B386" s="9">
        <v>45311</v>
      </c>
      <c r="C386" s="8" t="s">
        <v>16</v>
      </c>
      <c r="D386" s="8" t="s">
        <v>17</v>
      </c>
      <c r="E386" s="8" t="s">
        <v>18</v>
      </c>
      <c r="F386" s="8" t="s">
        <v>28</v>
      </c>
      <c r="G386" s="7">
        <v>9</v>
      </c>
      <c r="H386" s="7">
        <v>36576</v>
      </c>
      <c r="I386" s="7">
        <v>44663</v>
      </c>
      <c r="J386" s="7">
        <f t="shared" si="15"/>
        <v>329184</v>
      </c>
      <c r="K386" s="7">
        <f t="shared" si="16"/>
        <v>401967</v>
      </c>
      <c r="L386" s="8">
        <f t="shared" si="17"/>
        <v>72783</v>
      </c>
    </row>
    <row r="387" spans="1:12" x14ac:dyDescent="0.3">
      <c r="A387" s="8" t="s">
        <v>419</v>
      </c>
      <c r="B387" s="9">
        <v>45312</v>
      </c>
      <c r="C387" s="8" t="s">
        <v>26</v>
      </c>
      <c r="D387" s="8" t="s">
        <v>13</v>
      </c>
      <c r="E387" s="8" t="s">
        <v>14</v>
      </c>
      <c r="F387" s="8" t="s">
        <v>22</v>
      </c>
      <c r="G387" s="7">
        <v>6</v>
      </c>
      <c r="H387" s="7">
        <v>19606</v>
      </c>
      <c r="I387" s="7">
        <v>23656</v>
      </c>
      <c r="J387" s="7">
        <f t="shared" ref="J387:J450" si="18">G387*H387</f>
        <v>117636</v>
      </c>
      <c r="K387" s="7">
        <f t="shared" ref="K387:K450" si="19">G387*I387</f>
        <v>141936</v>
      </c>
      <c r="L387" s="8">
        <f t="shared" ref="L387:L450" si="20">(I387-H387)*G387</f>
        <v>24300</v>
      </c>
    </row>
    <row r="388" spans="1:12" x14ac:dyDescent="0.3">
      <c r="A388" s="8" t="s">
        <v>420</v>
      </c>
      <c r="B388" s="9">
        <v>45313</v>
      </c>
      <c r="C388" s="8" t="s">
        <v>12</v>
      </c>
      <c r="D388" s="8" t="s">
        <v>29</v>
      </c>
      <c r="E388" s="8" t="s">
        <v>18</v>
      </c>
      <c r="F388" s="8" t="s">
        <v>25</v>
      </c>
      <c r="G388" s="7">
        <v>7</v>
      </c>
      <c r="H388" s="7">
        <v>17351</v>
      </c>
      <c r="I388" s="7">
        <v>17789</v>
      </c>
      <c r="J388" s="7">
        <f t="shared" si="18"/>
        <v>121457</v>
      </c>
      <c r="K388" s="7">
        <f t="shared" si="19"/>
        <v>124523</v>
      </c>
      <c r="L388" s="8">
        <f t="shared" si="20"/>
        <v>3066</v>
      </c>
    </row>
    <row r="389" spans="1:12" x14ac:dyDescent="0.3">
      <c r="A389" s="8" t="s">
        <v>421</v>
      </c>
      <c r="B389" s="9">
        <v>45314</v>
      </c>
      <c r="C389" s="8" t="s">
        <v>23</v>
      </c>
      <c r="D389" s="8" t="s">
        <v>17</v>
      </c>
      <c r="E389" s="8" t="s">
        <v>14</v>
      </c>
      <c r="F389" s="8" t="s">
        <v>22</v>
      </c>
      <c r="G389" s="7">
        <v>8</v>
      </c>
      <c r="H389" s="7">
        <v>28386</v>
      </c>
      <c r="I389" s="7">
        <v>36029</v>
      </c>
      <c r="J389" s="7">
        <f t="shared" si="18"/>
        <v>227088</v>
      </c>
      <c r="K389" s="7">
        <f t="shared" si="19"/>
        <v>288232</v>
      </c>
      <c r="L389" s="8">
        <f t="shared" si="20"/>
        <v>61144</v>
      </c>
    </row>
    <row r="390" spans="1:12" x14ac:dyDescent="0.3">
      <c r="A390" s="8" t="s">
        <v>422</v>
      </c>
      <c r="B390" s="9">
        <v>45315</v>
      </c>
      <c r="C390" s="8" t="s">
        <v>26</v>
      </c>
      <c r="D390" s="8" t="s">
        <v>24</v>
      </c>
      <c r="E390" s="8" t="s">
        <v>14</v>
      </c>
      <c r="F390" s="8" t="s">
        <v>22</v>
      </c>
      <c r="G390" s="7">
        <v>5</v>
      </c>
      <c r="H390" s="7">
        <v>30737</v>
      </c>
      <c r="I390" s="7">
        <v>39639</v>
      </c>
      <c r="J390" s="7">
        <f t="shared" si="18"/>
        <v>153685</v>
      </c>
      <c r="K390" s="7">
        <f t="shared" si="19"/>
        <v>198195</v>
      </c>
      <c r="L390" s="8">
        <f t="shared" si="20"/>
        <v>44510</v>
      </c>
    </row>
    <row r="391" spans="1:12" x14ac:dyDescent="0.3">
      <c r="A391" s="8" t="s">
        <v>423</v>
      </c>
      <c r="B391" s="9">
        <v>45316</v>
      </c>
      <c r="C391" s="8" t="s">
        <v>16</v>
      </c>
      <c r="D391" s="8" t="s">
        <v>21</v>
      </c>
      <c r="E391" s="8" t="s">
        <v>18</v>
      </c>
      <c r="F391" s="8" t="s">
        <v>25</v>
      </c>
      <c r="G391" s="7">
        <v>9</v>
      </c>
      <c r="H391" s="7">
        <v>23908</v>
      </c>
      <c r="I391" s="7">
        <v>25435</v>
      </c>
      <c r="J391" s="7">
        <f t="shared" si="18"/>
        <v>215172</v>
      </c>
      <c r="K391" s="7">
        <f t="shared" si="19"/>
        <v>228915</v>
      </c>
      <c r="L391" s="8">
        <f t="shared" si="20"/>
        <v>13743</v>
      </c>
    </row>
    <row r="392" spans="1:12" x14ac:dyDescent="0.3">
      <c r="A392" s="8" t="s">
        <v>424</v>
      </c>
      <c r="B392" s="9">
        <v>45317</v>
      </c>
      <c r="C392" s="8" t="s">
        <v>12</v>
      </c>
      <c r="D392" s="8" t="s">
        <v>29</v>
      </c>
      <c r="E392" s="8" t="s">
        <v>14</v>
      </c>
      <c r="F392" s="8" t="s">
        <v>15</v>
      </c>
      <c r="G392" s="7">
        <v>6</v>
      </c>
      <c r="H392" s="7">
        <v>32460</v>
      </c>
      <c r="I392" s="7">
        <v>42231</v>
      </c>
      <c r="J392" s="7">
        <f t="shared" si="18"/>
        <v>194760</v>
      </c>
      <c r="K392" s="7">
        <f t="shared" si="19"/>
        <v>253386</v>
      </c>
      <c r="L392" s="8">
        <f t="shared" si="20"/>
        <v>58626</v>
      </c>
    </row>
    <row r="393" spans="1:12" x14ac:dyDescent="0.3">
      <c r="A393" s="8" t="s">
        <v>425</v>
      </c>
      <c r="B393" s="9">
        <v>45318</v>
      </c>
      <c r="C393" s="8" t="s">
        <v>23</v>
      </c>
      <c r="D393" s="8" t="s">
        <v>27</v>
      </c>
      <c r="E393" s="8" t="s">
        <v>18</v>
      </c>
      <c r="F393" s="8" t="s">
        <v>25</v>
      </c>
      <c r="G393" s="7">
        <v>7</v>
      </c>
      <c r="H393" s="7">
        <v>22994</v>
      </c>
      <c r="I393" s="7">
        <v>29977</v>
      </c>
      <c r="J393" s="7">
        <f t="shared" si="18"/>
        <v>160958</v>
      </c>
      <c r="K393" s="7">
        <f t="shared" si="19"/>
        <v>209839</v>
      </c>
      <c r="L393" s="8">
        <f t="shared" si="20"/>
        <v>48881</v>
      </c>
    </row>
    <row r="394" spans="1:12" x14ac:dyDescent="0.3">
      <c r="A394" s="8" t="s">
        <v>426</v>
      </c>
      <c r="B394" s="9">
        <v>45319</v>
      </c>
      <c r="C394" s="8" t="s">
        <v>12</v>
      </c>
      <c r="D394" s="8" t="s">
        <v>17</v>
      </c>
      <c r="E394" s="8" t="s">
        <v>18</v>
      </c>
      <c r="F394" s="8" t="s">
        <v>19</v>
      </c>
      <c r="G394" s="7">
        <v>1</v>
      </c>
      <c r="H394" s="7">
        <v>30549</v>
      </c>
      <c r="I394" s="7">
        <v>38349</v>
      </c>
      <c r="J394" s="7">
        <f t="shared" si="18"/>
        <v>30549</v>
      </c>
      <c r="K394" s="7">
        <f t="shared" si="19"/>
        <v>38349</v>
      </c>
      <c r="L394" s="8">
        <f t="shared" si="20"/>
        <v>7800</v>
      </c>
    </row>
    <row r="395" spans="1:12" x14ac:dyDescent="0.3">
      <c r="A395" s="8" t="s">
        <v>427</v>
      </c>
      <c r="B395" s="9">
        <v>45320</v>
      </c>
      <c r="C395" s="8" t="s">
        <v>23</v>
      </c>
      <c r="D395" s="8" t="s">
        <v>21</v>
      </c>
      <c r="E395" s="8" t="s">
        <v>18</v>
      </c>
      <c r="F395" s="8" t="s">
        <v>19</v>
      </c>
      <c r="G395" s="7">
        <v>6</v>
      </c>
      <c r="H395" s="7">
        <v>33430</v>
      </c>
      <c r="I395" s="7">
        <v>37893</v>
      </c>
      <c r="J395" s="7">
        <f t="shared" si="18"/>
        <v>200580</v>
      </c>
      <c r="K395" s="7">
        <f t="shared" si="19"/>
        <v>227358</v>
      </c>
      <c r="L395" s="8">
        <f t="shared" si="20"/>
        <v>26778</v>
      </c>
    </row>
    <row r="396" spans="1:12" x14ac:dyDescent="0.3">
      <c r="A396" s="8" t="s">
        <v>428</v>
      </c>
      <c r="B396" s="9">
        <v>45321</v>
      </c>
      <c r="C396" s="8" t="s">
        <v>26</v>
      </c>
      <c r="D396" s="8" t="s">
        <v>17</v>
      </c>
      <c r="E396" s="8" t="s">
        <v>14</v>
      </c>
      <c r="F396" s="8" t="s">
        <v>22</v>
      </c>
      <c r="G396" s="7">
        <v>5</v>
      </c>
      <c r="H396" s="7">
        <v>35197</v>
      </c>
      <c r="I396" s="7">
        <v>37896</v>
      </c>
      <c r="J396" s="7">
        <f t="shared" si="18"/>
        <v>175985</v>
      </c>
      <c r="K396" s="7">
        <f t="shared" si="19"/>
        <v>189480</v>
      </c>
      <c r="L396" s="8">
        <f t="shared" si="20"/>
        <v>13495</v>
      </c>
    </row>
    <row r="397" spans="1:12" x14ac:dyDescent="0.3">
      <c r="A397" s="8" t="s">
        <v>429</v>
      </c>
      <c r="B397" s="9">
        <v>45322</v>
      </c>
      <c r="C397" s="8" t="s">
        <v>16</v>
      </c>
      <c r="D397" s="8" t="s">
        <v>24</v>
      </c>
      <c r="E397" s="8" t="s">
        <v>14</v>
      </c>
      <c r="F397" s="8" t="s">
        <v>22</v>
      </c>
      <c r="G397" s="7">
        <v>1</v>
      </c>
      <c r="H397" s="7">
        <v>27078</v>
      </c>
      <c r="I397" s="7">
        <v>31452</v>
      </c>
      <c r="J397" s="7">
        <f t="shared" si="18"/>
        <v>27078</v>
      </c>
      <c r="K397" s="7">
        <f t="shared" si="19"/>
        <v>31452</v>
      </c>
      <c r="L397" s="8">
        <f t="shared" si="20"/>
        <v>4374</v>
      </c>
    </row>
    <row r="398" spans="1:12" x14ac:dyDescent="0.3">
      <c r="A398" s="8" t="s">
        <v>430</v>
      </c>
      <c r="B398" s="9">
        <v>45323</v>
      </c>
      <c r="C398" s="8" t="s">
        <v>12</v>
      </c>
      <c r="D398" s="8" t="s">
        <v>29</v>
      </c>
      <c r="E398" s="8" t="s">
        <v>18</v>
      </c>
      <c r="F398" s="8" t="s">
        <v>19</v>
      </c>
      <c r="G398" s="7">
        <v>5</v>
      </c>
      <c r="H398" s="7">
        <v>12205</v>
      </c>
      <c r="I398" s="7">
        <v>17630</v>
      </c>
      <c r="J398" s="7">
        <f t="shared" si="18"/>
        <v>61025</v>
      </c>
      <c r="K398" s="7">
        <f t="shared" si="19"/>
        <v>88150</v>
      </c>
      <c r="L398" s="8">
        <f t="shared" si="20"/>
        <v>27125</v>
      </c>
    </row>
    <row r="399" spans="1:12" x14ac:dyDescent="0.3">
      <c r="A399" s="8" t="s">
        <v>431</v>
      </c>
      <c r="B399" s="9">
        <v>45324</v>
      </c>
      <c r="C399" s="8" t="s">
        <v>26</v>
      </c>
      <c r="D399" s="8" t="s">
        <v>27</v>
      </c>
      <c r="E399" s="8" t="s">
        <v>14</v>
      </c>
      <c r="F399" s="8" t="s">
        <v>20</v>
      </c>
      <c r="G399" s="7">
        <v>4</v>
      </c>
      <c r="H399" s="7">
        <v>3369</v>
      </c>
      <c r="I399" s="7">
        <v>6143</v>
      </c>
      <c r="J399" s="7">
        <f t="shared" si="18"/>
        <v>13476</v>
      </c>
      <c r="K399" s="7">
        <f t="shared" si="19"/>
        <v>24572</v>
      </c>
      <c r="L399" s="8">
        <f t="shared" si="20"/>
        <v>11096</v>
      </c>
    </row>
    <row r="400" spans="1:12" x14ac:dyDescent="0.3">
      <c r="A400" s="8" t="s">
        <v>432</v>
      </c>
      <c r="B400" s="9">
        <v>45325</v>
      </c>
      <c r="C400" s="8" t="s">
        <v>12</v>
      </c>
      <c r="D400" s="8" t="s">
        <v>27</v>
      </c>
      <c r="E400" s="8" t="s">
        <v>14</v>
      </c>
      <c r="F400" s="8" t="s">
        <v>15</v>
      </c>
      <c r="G400" s="7">
        <v>1</v>
      </c>
      <c r="H400" s="7">
        <v>36937</v>
      </c>
      <c r="I400" s="7">
        <v>39506</v>
      </c>
      <c r="J400" s="7">
        <f t="shared" si="18"/>
        <v>36937</v>
      </c>
      <c r="K400" s="7">
        <f t="shared" si="19"/>
        <v>39506</v>
      </c>
      <c r="L400" s="8">
        <f t="shared" si="20"/>
        <v>2569</v>
      </c>
    </row>
    <row r="401" spans="1:12" x14ac:dyDescent="0.3">
      <c r="A401" s="8" t="s">
        <v>433</v>
      </c>
      <c r="B401" s="9">
        <v>45326</v>
      </c>
      <c r="C401" s="8" t="s">
        <v>23</v>
      </c>
      <c r="D401" s="8" t="s">
        <v>29</v>
      </c>
      <c r="E401" s="8" t="s">
        <v>14</v>
      </c>
      <c r="F401" s="8" t="s">
        <v>22</v>
      </c>
      <c r="G401" s="7">
        <v>8</v>
      </c>
      <c r="H401" s="7">
        <v>34805</v>
      </c>
      <c r="I401" s="7">
        <v>41124</v>
      </c>
      <c r="J401" s="7">
        <f t="shared" si="18"/>
        <v>278440</v>
      </c>
      <c r="K401" s="7">
        <f t="shared" si="19"/>
        <v>328992</v>
      </c>
      <c r="L401" s="8">
        <f t="shared" si="20"/>
        <v>50552</v>
      </c>
    </row>
    <row r="402" spans="1:12" x14ac:dyDescent="0.3">
      <c r="A402" s="8" t="s">
        <v>434</v>
      </c>
      <c r="B402" s="9">
        <v>45327</v>
      </c>
      <c r="C402" s="8" t="s">
        <v>16</v>
      </c>
      <c r="D402" s="8" t="s">
        <v>17</v>
      </c>
      <c r="E402" s="8" t="s">
        <v>18</v>
      </c>
      <c r="F402" s="8" t="s">
        <v>19</v>
      </c>
      <c r="G402" s="7">
        <v>1</v>
      </c>
      <c r="H402" s="7">
        <v>30007</v>
      </c>
      <c r="I402" s="7">
        <v>32685</v>
      </c>
      <c r="J402" s="7">
        <f t="shared" si="18"/>
        <v>30007</v>
      </c>
      <c r="K402" s="7">
        <f t="shared" si="19"/>
        <v>32685</v>
      </c>
      <c r="L402" s="8">
        <f t="shared" si="20"/>
        <v>2678</v>
      </c>
    </row>
    <row r="403" spans="1:12" x14ac:dyDescent="0.3">
      <c r="A403" s="8" t="s">
        <v>435</v>
      </c>
      <c r="B403" s="9">
        <v>45328</v>
      </c>
      <c r="C403" s="8" t="s">
        <v>12</v>
      </c>
      <c r="D403" s="8" t="s">
        <v>24</v>
      </c>
      <c r="E403" s="8" t="s">
        <v>14</v>
      </c>
      <c r="F403" s="8" t="s">
        <v>15</v>
      </c>
      <c r="G403" s="7">
        <v>4</v>
      </c>
      <c r="H403" s="7">
        <v>7074</v>
      </c>
      <c r="I403" s="7">
        <v>11049</v>
      </c>
      <c r="J403" s="7">
        <f t="shared" si="18"/>
        <v>28296</v>
      </c>
      <c r="K403" s="7">
        <f t="shared" si="19"/>
        <v>44196</v>
      </c>
      <c r="L403" s="8">
        <f t="shared" si="20"/>
        <v>15900</v>
      </c>
    </row>
    <row r="404" spans="1:12" x14ac:dyDescent="0.3">
      <c r="A404" s="8" t="s">
        <v>436</v>
      </c>
      <c r="B404" s="9">
        <v>45329</v>
      </c>
      <c r="C404" s="8" t="s">
        <v>12</v>
      </c>
      <c r="D404" s="8" t="s">
        <v>21</v>
      </c>
      <c r="E404" s="8" t="s">
        <v>18</v>
      </c>
      <c r="F404" s="8" t="s">
        <v>28</v>
      </c>
      <c r="G404" s="7">
        <v>8</v>
      </c>
      <c r="H404" s="7">
        <v>7081</v>
      </c>
      <c r="I404" s="7">
        <v>12601</v>
      </c>
      <c r="J404" s="7">
        <f t="shared" si="18"/>
        <v>56648</v>
      </c>
      <c r="K404" s="7">
        <f t="shared" si="19"/>
        <v>100808</v>
      </c>
      <c r="L404" s="8">
        <f t="shared" si="20"/>
        <v>44160</v>
      </c>
    </row>
    <row r="405" spans="1:12" x14ac:dyDescent="0.3">
      <c r="A405" s="8" t="s">
        <v>437</v>
      </c>
      <c r="B405" s="9">
        <v>45330</v>
      </c>
      <c r="C405" s="8" t="s">
        <v>26</v>
      </c>
      <c r="D405" s="8" t="s">
        <v>13</v>
      </c>
      <c r="E405" s="8" t="s">
        <v>14</v>
      </c>
      <c r="F405" s="8" t="s">
        <v>22</v>
      </c>
      <c r="G405" s="7">
        <v>2</v>
      </c>
      <c r="H405" s="7">
        <v>11952</v>
      </c>
      <c r="I405" s="7">
        <v>20595</v>
      </c>
      <c r="J405" s="7">
        <f t="shared" si="18"/>
        <v>23904</v>
      </c>
      <c r="K405" s="7">
        <f t="shared" si="19"/>
        <v>41190</v>
      </c>
      <c r="L405" s="8">
        <f t="shared" si="20"/>
        <v>17286</v>
      </c>
    </row>
    <row r="406" spans="1:12" x14ac:dyDescent="0.3">
      <c r="A406" s="8" t="s">
        <v>438</v>
      </c>
      <c r="B406" s="9">
        <v>45331</v>
      </c>
      <c r="C406" s="8" t="s">
        <v>12</v>
      </c>
      <c r="D406" s="8" t="s">
        <v>24</v>
      </c>
      <c r="E406" s="8" t="s">
        <v>14</v>
      </c>
      <c r="F406" s="8" t="s">
        <v>15</v>
      </c>
      <c r="G406" s="7">
        <v>4</v>
      </c>
      <c r="H406" s="7">
        <v>19410</v>
      </c>
      <c r="I406" s="7">
        <v>20626</v>
      </c>
      <c r="J406" s="7">
        <f t="shared" si="18"/>
        <v>77640</v>
      </c>
      <c r="K406" s="7">
        <f t="shared" si="19"/>
        <v>82504</v>
      </c>
      <c r="L406" s="8">
        <f t="shared" si="20"/>
        <v>4864</v>
      </c>
    </row>
    <row r="407" spans="1:12" x14ac:dyDescent="0.3">
      <c r="A407" s="8" t="s">
        <v>439</v>
      </c>
      <c r="B407" s="9">
        <v>45332</v>
      </c>
      <c r="C407" s="8" t="s">
        <v>26</v>
      </c>
      <c r="D407" s="8" t="s">
        <v>27</v>
      </c>
      <c r="E407" s="8" t="s">
        <v>18</v>
      </c>
      <c r="F407" s="8" t="s">
        <v>19</v>
      </c>
      <c r="G407" s="7">
        <v>3</v>
      </c>
      <c r="H407" s="7">
        <v>29187</v>
      </c>
      <c r="I407" s="7">
        <v>32082</v>
      </c>
      <c r="J407" s="7">
        <f t="shared" si="18"/>
        <v>87561</v>
      </c>
      <c r="K407" s="7">
        <f t="shared" si="19"/>
        <v>96246</v>
      </c>
      <c r="L407" s="8">
        <f t="shared" si="20"/>
        <v>8685</v>
      </c>
    </row>
    <row r="408" spans="1:12" x14ac:dyDescent="0.3">
      <c r="A408" s="8" t="s">
        <v>440</v>
      </c>
      <c r="B408" s="9">
        <v>45333</v>
      </c>
      <c r="C408" s="8" t="s">
        <v>12</v>
      </c>
      <c r="D408" s="8" t="s">
        <v>21</v>
      </c>
      <c r="E408" s="8" t="s">
        <v>18</v>
      </c>
      <c r="F408" s="8" t="s">
        <v>19</v>
      </c>
      <c r="G408" s="7">
        <v>10</v>
      </c>
      <c r="H408" s="7">
        <v>19042</v>
      </c>
      <c r="I408" s="7">
        <v>21257</v>
      </c>
      <c r="J408" s="7">
        <f t="shared" si="18"/>
        <v>190420</v>
      </c>
      <c r="K408" s="7">
        <f t="shared" si="19"/>
        <v>212570</v>
      </c>
      <c r="L408" s="8">
        <f t="shared" si="20"/>
        <v>22150</v>
      </c>
    </row>
    <row r="409" spans="1:12" x14ac:dyDescent="0.3">
      <c r="A409" s="8" t="s">
        <v>441</v>
      </c>
      <c r="B409" s="9">
        <v>45334</v>
      </c>
      <c r="C409" s="8" t="s">
        <v>16</v>
      </c>
      <c r="D409" s="8" t="s">
        <v>17</v>
      </c>
      <c r="E409" s="8" t="s">
        <v>14</v>
      </c>
      <c r="F409" s="8" t="s">
        <v>22</v>
      </c>
      <c r="G409" s="7">
        <v>7</v>
      </c>
      <c r="H409" s="7">
        <v>16048</v>
      </c>
      <c r="I409" s="7">
        <v>16326</v>
      </c>
      <c r="J409" s="7">
        <f t="shared" si="18"/>
        <v>112336</v>
      </c>
      <c r="K409" s="7">
        <f t="shared" si="19"/>
        <v>114282</v>
      </c>
      <c r="L409" s="8">
        <f t="shared" si="20"/>
        <v>1946</v>
      </c>
    </row>
    <row r="410" spans="1:12" x14ac:dyDescent="0.3">
      <c r="A410" s="8" t="s">
        <v>442</v>
      </c>
      <c r="B410" s="9">
        <v>45335</v>
      </c>
      <c r="C410" s="8" t="s">
        <v>26</v>
      </c>
      <c r="D410" s="8" t="s">
        <v>13</v>
      </c>
      <c r="E410" s="8" t="s">
        <v>14</v>
      </c>
      <c r="F410" s="8" t="s">
        <v>20</v>
      </c>
      <c r="G410" s="7">
        <v>6</v>
      </c>
      <c r="H410" s="7">
        <v>33812</v>
      </c>
      <c r="I410" s="7">
        <v>43263</v>
      </c>
      <c r="J410" s="7">
        <f t="shared" si="18"/>
        <v>202872</v>
      </c>
      <c r="K410" s="7">
        <f t="shared" si="19"/>
        <v>259578</v>
      </c>
      <c r="L410" s="8">
        <f t="shared" si="20"/>
        <v>56706</v>
      </c>
    </row>
    <row r="411" spans="1:12" x14ac:dyDescent="0.3">
      <c r="A411" s="8" t="s">
        <v>443</v>
      </c>
      <c r="B411" s="9">
        <v>45336</v>
      </c>
      <c r="C411" s="8" t="s">
        <v>23</v>
      </c>
      <c r="D411" s="8" t="s">
        <v>27</v>
      </c>
      <c r="E411" s="8" t="s">
        <v>18</v>
      </c>
      <c r="F411" s="8" t="s">
        <v>25</v>
      </c>
      <c r="G411" s="7">
        <v>10</v>
      </c>
      <c r="H411" s="7">
        <v>11329</v>
      </c>
      <c r="I411" s="7">
        <v>11827</v>
      </c>
      <c r="J411" s="7">
        <f t="shared" si="18"/>
        <v>113290</v>
      </c>
      <c r="K411" s="7">
        <f t="shared" si="19"/>
        <v>118270</v>
      </c>
      <c r="L411" s="8">
        <f t="shared" si="20"/>
        <v>4980</v>
      </c>
    </row>
    <row r="412" spans="1:12" x14ac:dyDescent="0.3">
      <c r="A412" s="8" t="s">
        <v>444</v>
      </c>
      <c r="B412" s="9">
        <v>45337</v>
      </c>
      <c r="C412" s="8" t="s">
        <v>12</v>
      </c>
      <c r="D412" s="8" t="s">
        <v>27</v>
      </c>
      <c r="E412" s="8" t="s">
        <v>14</v>
      </c>
      <c r="F412" s="8" t="s">
        <v>15</v>
      </c>
      <c r="G412" s="7">
        <v>9</v>
      </c>
      <c r="H412" s="7">
        <v>14704</v>
      </c>
      <c r="I412" s="7">
        <v>21844</v>
      </c>
      <c r="J412" s="7">
        <f t="shared" si="18"/>
        <v>132336</v>
      </c>
      <c r="K412" s="7">
        <f t="shared" si="19"/>
        <v>196596</v>
      </c>
      <c r="L412" s="8">
        <f t="shared" si="20"/>
        <v>64260</v>
      </c>
    </row>
    <row r="413" spans="1:12" x14ac:dyDescent="0.3">
      <c r="A413" s="8" t="s">
        <v>445</v>
      </c>
      <c r="B413" s="9">
        <v>45338</v>
      </c>
      <c r="C413" s="8" t="s">
        <v>12</v>
      </c>
      <c r="D413" s="8" t="s">
        <v>13</v>
      </c>
      <c r="E413" s="8" t="s">
        <v>18</v>
      </c>
      <c r="F413" s="8" t="s">
        <v>28</v>
      </c>
      <c r="G413" s="7">
        <v>3</v>
      </c>
      <c r="H413" s="7">
        <v>18202</v>
      </c>
      <c r="I413" s="7">
        <v>22196</v>
      </c>
      <c r="J413" s="7">
        <f t="shared" si="18"/>
        <v>54606</v>
      </c>
      <c r="K413" s="7">
        <f t="shared" si="19"/>
        <v>66588</v>
      </c>
      <c r="L413" s="8">
        <f t="shared" si="20"/>
        <v>11982</v>
      </c>
    </row>
    <row r="414" spans="1:12" x14ac:dyDescent="0.3">
      <c r="A414" s="8" t="s">
        <v>446</v>
      </c>
      <c r="B414" s="9">
        <v>45339</v>
      </c>
      <c r="C414" s="8" t="s">
        <v>26</v>
      </c>
      <c r="D414" s="8" t="s">
        <v>17</v>
      </c>
      <c r="E414" s="8" t="s">
        <v>14</v>
      </c>
      <c r="F414" s="8" t="s">
        <v>20</v>
      </c>
      <c r="G414" s="7">
        <v>10</v>
      </c>
      <c r="H414" s="7">
        <v>7238</v>
      </c>
      <c r="I414" s="7">
        <v>9876</v>
      </c>
      <c r="J414" s="7">
        <f t="shared" si="18"/>
        <v>72380</v>
      </c>
      <c r="K414" s="7">
        <f t="shared" si="19"/>
        <v>98760</v>
      </c>
      <c r="L414" s="8">
        <f t="shared" si="20"/>
        <v>26380</v>
      </c>
    </row>
    <row r="415" spans="1:12" x14ac:dyDescent="0.3">
      <c r="A415" s="8" t="s">
        <v>447</v>
      </c>
      <c r="B415" s="9">
        <v>45340</v>
      </c>
      <c r="C415" s="8" t="s">
        <v>12</v>
      </c>
      <c r="D415" s="8" t="s">
        <v>29</v>
      </c>
      <c r="E415" s="8" t="s">
        <v>18</v>
      </c>
      <c r="F415" s="8" t="s">
        <v>25</v>
      </c>
      <c r="G415" s="7">
        <v>4</v>
      </c>
      <c r="H415" s="7">
        <v>27876</v>
      </c>
      <c r="I415" s="7">
        <v>34141</v>
      </c>
      <c r="J415" s="7">
        <f t="shared" si="18"/>
        <v>111504</v>
      </c>
      <c r="K415" s="7">
        <f t="shared" si="19"/>
        <v>136564</v>
      </c>
      <c r="L415" s="8">
        <f t="shared" si="20"/>
        <v>25060</v>
      </c>
    </row>
    <row r="416" spans="1:12" x14ac:dyDescent="0.3">
      <c r="A416" s="8" t="s">
        <v>448</v>
      </c>
      <c r="B416" s="9">
        <v>45341</v>
      </c>
      <c r="C416" s="8" t="s">
        <v>16</v>
      </c>
      <c r="D416" s="8" t="s">
        <v>27</v>
      </c>
      <c r="E416" s="8" t="s">
        <v>18</v>
      </c>
      <c r="F416" s="8" t="s">
        <v>28</v>
      </c>
      <c r="G416" s="7">
        <v>3</v>
      </c>
      <c r="H416" s="7">
        <v>36655</v>
      </c>
      <c r="I416" s="7">
        <v>37015</v>
      </c>
      <c r="J416" s="7">
        <f t="shared" si="18"/>
        <v>109965</v>
      </c>
      <c r="K416" s="7">
        <f t="shared" si="19"/>
        <v>111045</v>
      </c>
      <c r="L416" s="8">
        <f t="shared" si="20"/>
        <v>1080</v>
      </c>
    </row>
    <row r="417" spans="1:12" x14ac:dyDescent="0.3">
      <c r="A417" s="8" t="s">
        <v>449</v>
      </c>
      <c r="B417" s="9">
        <v>45342</v>
      </c>
      <c r="C417" s="8" t="s">
        <v>12</v>
      </c>
      <c r="D417" s="8" t="s">
        <v>24</v>
      </c>
      <c r="E417" s="8" t="s">
        <v>18</v>
      </c>
      <c r="F417" s="8" t="s">
        <v>25</v>
      </c>
      <c r="G417" s="7">
        <v>5</v>
      </c>
      <c r="H417" s="7">
        <v>21165</v>
      </c>
      <c r="I417" s="7">
        <v>22995</v>
      </c>
      <c r="J417" s="7">
        <f t="shared" si="18"/>
        <v>105825</v>
      </c>
      <c r="K417" s="7">
        <f t="shared" si="19"/>
        <v>114975</v>
      </c>
      <c r="L417" s="8">
        <f t="shared" si="20"/>
        <v>9150</v>
      </c>
    </row>
    <row r="418" spans="1:12" x14ac:dyDescent="0.3">
      <c r="A418" s="8" t="s">
        <v>450</v>
      </c>
      <c r="B418" s="9">
        <v>45343</v>
      </c>
      <c r="C418" s="8" t="s">
        <v>16</v>
      </c>
      <c r="D418" s="8" t="s">
        <v>27</v>
      </c>
      <c r="E418" s="8" t="s">
        <v>18</v>
      </c>
      <c r="F418" s="8" t="s">
        <v>19</v>
      </c>
      <c r="G418" s="7">
        <v>7</v>
      </c>
      <c r="H418" s="7">
        <v>7948</v>
      </c>
      <c r="I418" s="7">
        <v>11686</v>
      </c>
      <c r="J418" s="7">
        <f t="shared" si="18"/>
        <v>55636</v>
      </c>
      <c r="K418" s="7">
        <f t="shared" si="19"/>
        <v>81802</v>
      </c>
      <c r="L418" s="8">
        <f t="shared" si="20"/>
        <v>26166</v>
      </c>
    </row>
    <row r="419" spans="1:12" x14ac:dyDescent="0.3">
      <c r="A419" s="8" t="s">
        <v>451</v>
      </c>
      <c r="B419" s="9">
        <v>45344</v>
      </c>
      <c r="C419" s="8" t="s">
        <v>12</v>
      </c>
      <c r="D419" s="8" t="s">
        <v>17</v>
      </c>
      <c r="E419" s="8" t="s">
        <v>14</v>
      </c>
      <c r="F419" s="8" t="s">
        <v>22</v>
      </c>
      <c r="G419" s="7">
        <v>5</v>
      </c>
      <c r="H419" s="7">
        <v>12571</v>
      </c>
      <c r="I419" s="7">
        <v>20774</v>
      </c>
      <c r="J419" s="7">
        <f t="shared" si="18"/>
        <v>62855</v>
      </c>
      <c r="K419" s="7">
        <f t="shared" si="19"/>
        <v>103870</v>
      </c>
      <c r="L419" s="8">
        <f t="shared" si="20"/>
        <v>41015</v>
      </c>
    </row>
    <row r="420" spans="1:12" x14ac:dyDescent="0.3">
      <c r="A420" s="8" t="s">
        <v>452</v>
      </c>
      <c r="B420" s="9">
        <v>45345</v>
      </c>
      <c r="C420" s="8" t="s">
        <v>23</v>
      </c>
      <c r="D420" s="8" t="s">
        <v>24</v>
      </c>
      <c r="E420" s="8" t="s">
        <v>18</v>
      </c>
      <c r="F420" s="8" t="s">
        <v>19</v>
      </c>
      <c r="G420" s="7">
        <v>7</v>
      </c>
      <c r="H420" s="7">
        <v>11880</v>
      </c>
      <c r="I420" s="7">
        <v>12597</v>
      </c>
      <c r="J420" s="7">
        <f t="shared" si="18"/>
        <v>83160</v>
      </c>
      <c r="K420" s="7">
        <f t="shared" si="19"/>
        <v>88179</v>
      </c>
      <c r="L420" s="8">
        <f t="shared" si="20"/>
        <v>5019</v>
      </c>
    </row>
    <row r="421" spans="1:12" x14ac:dyDescent="0.3">
      <c r="A421" s="8" t="s">
        <v>453</v>
      </c>
      <c r="B421" s="9">
        <v>45346</v>
      </c>
      <c r="C421" s="8" t="s">
        <v>16</v>
      </c>
      <c r="D421" s="8" t="s">
        <v>27</v>
      </c>
      <c r="E421" s="8" t="s">
        <v>18</v>
      </c>
      <c r="F421" s="8" t="s">
        <v>25</v>
      </c>
      <c r="G421" s="7">
        <v>4</v>
      </c>
      <c r="H421" s="7">
        <v>14808</v>
      </c>
      <c r="I421" s="7">
        <v>23237</v>
      </c>
      <c r="J421" s="7">
        <f t="shared" si="18"/>
        <v>59232</v>
      </c>
      <c r="K421" s="7">
        <f t="shared" si="19"/>
        <v>92948</v>
      </c>
      <c r="L421" s="8">
        <f t="shared" si="20"/>
        <v>33716</v>
      </c>
    </row>
    <row r="422" spans="1:12" x14ac:dyDescent="0.3">
      <c r="A422" s="8" t="s">
        <v>454</v>
      </c>
      <c r="B422" s="9">
        <v>45347</v>
      </c>
      <c r="C422" s="8" t="s">
        <v>12</v>
      </c>
      <c r="D422" s="8" t="s">
        <v>29</v>
      </c>
      <c r="E422" s="8" t="s">
        <v>14</v>
      </c>
      <c r="F422" s="8" t="s">
        <v>20</v>
      </c>
      <c r="G422" s="7">
        <v>9</v>
      </c>
      <c r="H422" s="7">
        <v>14728</v>
      </c>
      <c r="I422" s="7">
        <v>19569</v>
      </c>
      <c r="J422" s="7">
        <f t="shared" si="18"/>
        <v>132552</v>
      </c>
      <c r="K422" s="7">
        <f t="shared" si="19"/>
        <v>176121</v>
      </c>
      <c r="L422" s="8">
        <f t="shared" si="20"/>
        <v>43569</v>
      </c>
    </row>
    <row r="423" spans="1:12" x14ac:dyDescent="0.3">
      <c r="A423" s="8" t="s">
        <v>455</v>
      </c>
      <c r="B423" s="9">
        <v>45348</v>
      </c>
      <c r="C423" s="8" t="s">
        <v>26</v>
      </c>
      <c r="D423" s="8" t="s">
        <v>29</v>
      </c>
      <c r="E423" s="8" t="s">
        <v>18</v>
      </c>
      <c r="F423" s="8" t="s">
        <v>28</v>
      </c>
      <c r="G423" s="7">
        <v>10</v>
      </c>
      <c r="H423" s="7">
        <v>21577</v>
      </c>
      <c r="I423" s="7">
        <v>24858</v>
      </c>
      <c r="J423" s="7">
        <f t="shared" si="18"/>
        <v>215770</v>
      </c>
      <c r="K423" s="7">
        <f t="shared" si="19"/>
        <v>248580</v>
      </c>
      <c r="L423" s="8">
        <f t="shared" si="20"/>
        <v>32810</v>
      </c>
    </row>
    <row r="424" spans="1:12" x14ac:dyDescent="0.3">
      <c r="A424" s="8" t="s">
        <v>456</v>
      </c>
      <c r="B424" s="9">
        <v>45349</v>
      </c>
      <c r="C424" s="8" t="s">
        <v>26</v>
      </c>
      <c r="D424" s="8" t="s">
        <v>21</v>
      </c>
      <c r="E424" s="8" t="s">
        <v>14</v>
      </c>
      <c r="F424" s="8" t="s">
        <v>22</v>
      </c>
      <c r="G424" s="7">
        <v>1</v>
      </c>
      <c r="H424" s="7">
        <v>20680</v>
      </c>
      <c r="I424" s="7">
        <v>24395</v>
      </c>
      <c r="J424" s="7">
        <f t="shared" si="18"/>
        <v>20680</v>
      </c>
      <c r="K424" s="7">
        <f t="shared" si="19"/>
        <v>24395</v>
      </c>
      <c r="L424" s="8">
        <f t="shared" si="20"/>
        <v>3715</v>
      </c>
    </row>
    <row r="425" spans="1:12" x14ac:dyDescent="0.3">
      <c r="A425" s="8" t="s">
        <v>457</v>
      </c>
      <c r="B425" s="9">
        <v>45350</v>
      </c>
      <c r="C425" s="8" t="s">
        <v>26</v>
      </c>
      <c r="D425" s="8" t="s">
        <v>21</v>
      </c>
      <c r="E425" s="8" t="s">
        <v>18</v>
      </c>
      <c r="F425" s="8" t="s">
        <v>19</v>
      </c>
      <c r="G425" s="7">
        <v>4</v>
      </c>
      <c r="H425" s="7">
        <v>2704</v>
      </c>
      <c r="I425" s="7">
        <v>3473</v>
      </c>
      <c r="J425" s="7">
        <f t="shared" si="18"/>
        <v>10816</v>
      </c>
      <c r="K425" s="7">
        <f t="shared" si="19"/>
        <v>13892</v>
      </c>
      <c r="L425" s="8">
        <f t="shared" si="20"/>
        <v>3076</v>
      </c>
    </row>
    <row r="426" spans="1:12" x14ac:dyDescent="0.3">
      <c r="A426" s="8" t="s">
        <v>458</v>
      </c>
      <c r="B426" s="9">
        <v>45351</v>
      </c>
      <c r="C426" s="8" t="s">
        <v>26</v>
      </c>
      <c r="D426" s="8" t="s">
        <v>21</v>
      </c>
      <c r="E426" s="8" t="s">
        <v>18</v>
      </c>
      <c r="F426" s="8" t="s">
        <v>28</v>
      </c>
      <c r="G426" s="7">
        <v>4</v>
      </c>
      <c r="H426" s="7">
        <v>6904</v>
      </c>
      <c r="I426" s="7">
        <v>9856</v>
      </c>
      <c r="J426" s="7">
        <f t="shared" si="18"/>
        <v>27616</v>
      </c>
      <c r="K426" s="7">
        <f t="shared" si="19"/>
        <v>39424</v>
      </c>
      <c r="L426" s="8">
        <f t="shared" si="20"/>
        <v>11808</v>
      </c>
    </row>
    <row r="427" spans="1:12" x14ac:dyDescent="0.3">
      <c r="A427" s="8" t="s">
        <v>459</v>
      </c>
      <c r="B427" s="9">
        <v>45352</v>
      </c>
      <c r="C427" s="8" t="s">
        <v>12</v>
      </c>
      <c r="D427" s="8" t="s">
        <v>29</v>
      </c>
      <c r="E427" s="8" t="s">
        <v>18</v>
      </c>
      <c r="F427" s="8" t="s">
        <v>28</v>
      </c>
      <c r="G427" s="7">
        <v>6</v>
      </c>
      <c r="H427" s="7">
        <v>30008</v>
      </c>
      <c r="I427" s="7">
        <v>35165</v>
      </c>
      <c r="J427" s="7">
        <f t="shared" si="18"/>
        <v>180048</v>
      </c>
      <c r="K427" s="7">
        <f t="shared" si="19"/>
        <v>210990</v>
      </c>
      <c r="L427" s="8">
        <f t="shared" si="20"/>
        <v>30942</v>
      </c>
    </row>
    <row r="428" spans="1:12" x14ac:dyDescent="0.3">
      <c r="A428" s="8" t="s">
        <v>460</v>
      </c>
      <c r="B428" s="9">
        <v>45353</v>
      </c>
      <c r="C428" s="8" t="s">
        <v>12</v>
      </c>
      <c r="D428" s="8" t="s">
        <v>29</v>
      </c>
      <c r="E428" s="8" t="s">
        <v>14</v>
      </c>
      <c r="F428" s="8" t="s">
        <v>22</v>
      </c>
      <c r="G428" s="7">
        <v>1</v>
      </c>
      <c r="H428" s="7">
        <v>17893</v>
      </c>
      <c r="I428" s="7">
        <v>20233</v>
      </c>
      <c r="J428" s="7">
        <f t="shared" si="18"/>
        <v>17893</v>
      </c>
      <c r="K428" s="7">
        <f t="shared" si="19"/>
        <v>20233</v>
      </c>
      <c r="L428" s="8">
        <f t="shared" si="20"/>
        <v>2340</v>
      </c>
    </row>
    <row r="429" spans="1:12" x14ac:dyDescent="0.3">
      <c r="A429" s="8" t="s">
        <v>461</v>
      </c>
      <c r="B429" s="9">
        <v>45354</v>
      </c>
      <c r="C429" s="8" t="s">
        <v>26</v>
      </c>
      <c r="D429" s="8" t="s">
        <v>13</v>
      </c>
      <c r="E429" s="8" t="s">
        <v>14</v>
      </c>
      <c r="F429" s="8" t="s">
        <v>20</v>
      </c>
      <c r="G429" s="7">
        <v>1</v>
      </c>
      <c r="H429" s="7">
        <v>39831</v>
      </c>
      <c r="I429" s="7">
        <v>40281</v>
      </c>
      <c r="J429" s="7">
        <f t="shared" si="18"/>
        <v>39831</v>
      </c>
      <c r="K429" s="7">
        <f t="shared" si="19"/>
        <v>40281</v>
      </c>
      <c r="L429" s="8">
        <f t="shared" si="20"/>
        <v>450</v>
      </c>
    </row>
    <row r="430" spans="1:12" x14ac:dyDescent="0.3">
      <c r="A430" s="8" t="s">
        <v>462</v>
      </c>
      <c r="B430" s="9">
        <v>45355</v>
      </c>
      <c r="C430" s="8" t="s">
        <v>23</v>
      </c>
      <c r="D430" s="8" t="s">
        <v>21</v>
      </c>
      <c r="E430" s="8" t="s">
        <v>18</v>
      </c>
      <c r="F430" s="8" t="s">
        <v>19</v>
      </c>
      <c r="G430" s="7">
        <v>9</v>
      </c>
      <c r="H430" s="7">
        <v>12809</v>
      </c>
      <c r="I430" s="7">
        <v>14722</v>
      </c>
      <c r="J430" s="7">
        <f t="shared" si="18"/>
        <v>115281</v>
      </c>
      <c r="K430" s="7">
        <f t="shared" si="19"/>
        <v>132498</v>
      </c>
      <c r="L430" s="8">
        <f t="shared" si="20"/>
        <v>17217</v>
      </c>
    </row>
    <row r="431" spans="1:12" x14ac:dyDescent="0.3">
      <c r="A431" s="8" t="s">
        <v>463</v>
      </c>
      <c r="B431" s="9">
        <v>45356</v>
      </c>
      <c r="C431" s="8" t="s">
        <v>12</v>
      </c>
      <c r="D431" s="8" t="s">
        <v>21</v>
      </c>
      <c r="E431" s="8" t="s">
        <v>18</v>
      </c>
      <c r="F431" s="8" t="s">
        <v>25</v>
      </c>
      <c r="G431" s="7">
        <v>3</v>
      </c>
      <c r="H431" s="7">
        <v>27763</v>
      </c>
      <c r="I431" s="7">
        <v>31969</v>
      </c>
      <c r="J431" s="7">
        <f t="shared" si="18"/>
        <v>83289</v>
      </c>
      <c r="K431" s="7">
        <f t="shared" si="19"/>
        <v>95907</v>
      </c>
      <c r="L431" s="8">
        <f t="shared" si="20"/>
        <v>12618</v>
      </c>
    </row>
    <row r="432" spans="1:12" x14ac:dyDescent="0.3">
      <c r="A432" s="8" t="s">
        <v>464</v>
      </c>
      <c r="B432" s="9">
        <v>45357</v>
      </c>
      <c r="C432" s="8" t="s">
        <v>23</v>
      </c>
      <c r="D432" s="8" t="s">
        <v>27</v>
      </c>
      <c r="E432" s="8" t="s">
        <v>18</v>
      </c>
      <c r="F432" s="8" t="s">
        <v>28</v>
      </c>
      <c r="G432" s="7">
        <v>7</v>
      </c>
      <c r="H432" s="7">
        <v>28576</v>
      </c>
      <c r="I432" s="7">
        <v>33522</v>
      </c>
      <c r="J432" s="7">
        <f t="shared" si="18"/>
        <v>200032</v>
      </c>
      <c r="K432" s="7">
        <f t="shared" si="19"/>
        <v>234654</v>
      </c>
      <c r="L432" s="8">
        <f t="shared" si="20"/>
        <v>34622</v>
      </c>
    </row>
    <row r="433" spans="1:12" x14ac:dyDescent="0.3">
      <c r="A433" s="8" t="s">
        <v>465</v>
      </c>
      <c r="B433" s="9">
        <v>45358</v>
      </c>
      <c r="C433" s="8" t="s">
        <v>16</v>
      </c>
      <c r="D433" s="8" t="s">
        <v>29</v>
      </c>
      <c r="E433" s="8" t="s">
        <v>18</v>
      </c>
      <c r="F433" s="8" t="s">
        <v>25</v>
      </c>
      <c r="G433" s="7">
        <v>2</v>
      </c>
      <c r="H433" s="7">
        <v>1097</v>
      </c>
      <c r="I433" s="7">
        <v>1409</v>
      </c>
      <c r="J433" s="7">
        <f t="shared" si="18"/>
        <v>2194</v>
      </c>
      <c r="K433" s="7">
        <f t="shared" si="19"/>
        <v>2818</v>
      </c>
      <c r="L433" s="8">
        <f t="shared" si="20"/>
        <v>624</v>
      </c>
    </row>
    <row r="434" spans="1:12" x14ac:dyDescent="0.3">
      <c r="A434" s="8" t="s">
        <v>466</v>
      </c>
      <c r="B434" s="9">
        <v>45359</v>
      </c>
      <c r="C434" s="8" t="s">
        <v>26</v>
      </c>
      <c r="D434" s="8" t="s">
        <v>21</v>
      </c>
      <c r="E434" s="8" t="s">
        <v>18</v>
      </c>
      <c r="F434" s="8" t="s">
        <v>19</v>
      </c>
      <c r="G434" s="7">
        <v>2</v>
      </c>
      <c r="H434" s="7">
        <v>2084</v>
      </c>
      <c r="I434" s="7">
        <v>6054</v>
      </c>
      <c r="J434" s="7">
        <f t="shared" si="18"/>
        <v>4168</v>
      </c>
      <c r="K434" s="7">
        <f t="shared" si="19"/>
        <v>12108</v>
      </c>
      <c r="L434" s="8">
        <f t="shared" si="20"/>
        <v>7940</v>
      </c>
    </row>
    <row r="435" spans="1:12" x14ac:dyDescent="0.3">
      <c r="A435" s="8" t="s">
        <v>467</v>
      </c>
      <c r="B435" s="9">
        <v>45360</v>
      </c>
      <c r="C435" s="8" t="s">
        <v>16</v>
      </c>
      <c r="D435" s="8" t="s">
        <v>29</v>
      </c>
      <c r="E435" s="8" t="s">
        <v>14</v>
      </c>
      <c r="F435" s="8" t="s">
        <v>22</v>
      </c>
      <c r="G435" s="7">
        <v>7</v>
      </c>
      <c r="H435" s="7">
        <v>28168</v>
      </c>
      <c r="I435" s="7">
        <v>35566</v>
      </c>
      <c r="J435" s="7">
        <f t="shared" si="18"/>
        <v>197176</v>
      </c>
      <c r="K435" s="7">
        <f t="shared" si="19"/>
        <v>248962</v>
      </c>
      <c r="L435" s="8">
        <f t="shared" si="20"/>
        <v>51786</v>
      </c>
    </row>
    <row r="436" spans="1:12" x14ac:dyDescent="0.3">
      <c r="A436" s="8" t="s">
        <v>468</v>
      </c>
      <c r="B436" s="9">
        <v>45361</v>
      </c>
      <c r="C436" s="8" t="s">
        <v>26</v>
      </c>
      <c r="D436" s="8" t="s">
        <v>13</v>
      </c>
      <c r="E436" s="8" t="s">
        <v>18</v>
      </c>
      <c r="F436" s="8" t="s">
        <v>25</v>
      </c>
      <c r="G436" s="7">
        <v>9</v>
      </c>
      <c r="H436" s="7">
        <v>10268</v>
      </c>
      <c r="I436" s="7">
        <v>20253</v>
      </c>
      <c r="J436" s="7">
        <f t="shared" si="18"/>
        <v>92412</v>
      </c>
      <c r="K436" s="7">
        <f t="shared" si="19"/>
        <v>182277</v>
      </c>
      <c r="L436" s="8">
        <f t="shared" si="20"/>
        <v>89865</v>
      </c>
    </row>
    <row r="437" spans="1:12" x14ac:dyDescent="0.3">
      <c r="A437" s="8" t="s">
        <v>469</v>
      </c>
      <c r="B437" s="9">
        <v>45362</v>
      </c>
      <c r="C437" s="8" t="s">
        <v>12</v>
      </c>
      <c r="D437" s="8" t="s">
        <v>17</v>
      </c>
      <c r="E437" s="8" t="s">
        <v>18</v>
      </c>
      <c r="F437" s="8" t="s">
        <v>19</v>
      </c>
      <c r="G437" s="7">
        <v>7</v>
      </c>
      <c r="H437" s="7">
        <v>32620</v>
      </c>
      <c r="I437" s="7">
        <v>35560</v>
      </c>
      <c r="J437" s="7">
        <f t="shared" si="18"/>
        <v>228340</v>
      </c>
      <c r="K437" s="7">
        <f t="shared" si="19"/>
        <v>248920</v>
      </c>
      <c r="L437" s="8">
        <f t="shared" si="20"/>
        <v>20580</v>
      </c>
    </row>
    <row r="438" spans="1:12" x14ac:dyDescent="0.3">
      <c r="A438" s="8" t="s">
        <v>470</v>
      </c>
      <c r="B438" s="9">
        <v>45363</v>
      </c>
      <c r="C438" s="8" t="s">
        <v>26</v>
      </c>
      <c r="D438" s="8" t="s">
        <v>29</v>
      </c>
      <c r="E438" s="8" t="s">
        <v>14</v>
      </c>
      <c r="F438" s="8" t="s">
        <v>22</v>
      </c>
      <c r="G438" s="7">
        <v>9</v>
      </c>
      <c r="H438" s="7">
        <v>22858</v>
      </c>
      <c r="I438" s="7">
        <v>27537</v>
      </c>
      <c r="J438" s="7">
        <f t="shared" si="18"/>
        <v>205722</v>
      </c>
      <c r="K438" s="7">
        <f t="shared" si="19"/>
        <v>247833</v>
      </c>
      <c r="L438" s="8">
        <f t="shared" si="20"/>
        <v>42111</v>
      </c>
    </row>
    <row r="439" spans="1:12" x14ac:dyDescent="0.3">
      <c r="A439" s="8" t="s">
        <v>471</v>
      </c>
      <c r="B439" s="9">
        <v>45364</v>
      </c>
      <c r="C439" s="8" t="s">
        <v>12</v>
      </c>
      <c r="D439" s="8" t="s">
        <v>17</v>
      </c>
      <c r="E439" s="8" t="s">
        <v>14</v>
      </c>
      <c r="F439" s="8" t="s">
        <v>22</v>
      </c>
      <c r="G439" s="7">
        <v>9</v>
      </c>
      <c r="H439" s="7">
        <v>9650</v>
      </c>
      <c r="I439" s="7">
        <v>19095</v>
      </c>
      <c r="J439" s="7">
        <f t="shared" si="18"/>
        <v>86850</v>
      </c>
      <c r="K439" s="7">
        <f t="shared" si="19"/>
        <v>171855</v>
      </c>
      <c r="L439" s="8">
        <f t="shared" si="20"/>
        <v>85005</v>
      </c>
    </row>
    <row r="440" spans="1:12" x14ac:dyDescent="0.3">
      <c r="A440" s="8" t="s">
        <v>472</v>
      </c>
      <c r="B440" s="9">
        <v>45365</v>
      </c>
      <c r="C440" s="8" t="s">
        <v>12</v>
      </c>
      <c r="D440" s="8" t="s">
        <v>13</v>
      </c>
      <c r="E440" s="8" t="s">
        <v>18</v>
      </c>
      <c r="F440" s="8" t="s">
        <v>19</v>
      </c>
      <c r="G440" s="7">
        <v>7</v>
      </c>
      <c r="H440" s="7">
        <v>23050</v>
      </c>
      <c r="I440" s="7">
        <v>26386</v>
      </c>
      <c r="J440" s="7">
        <f t="shared" si="18"/>
        <v>161350</v>
      </c>
      <c r="K440" s="7">
        <f t="shared" si="19"/>
        <v>184702</v>
      </c>
      <c r="L440" s="8">
        <f t="shared" si="20"/>
        <v>23352</v>
      </c>
    </row>
    <row r="441" spans="1:12" x14ac:dyDescent="0.3">
      <c r="A441" s="8" t="s">
        <v>473</v>
      </c>
      <c r="B441" s="9">
        <v>45366</v>
      </c>
      <c r="C441" s="8" t="s">
        <v>12</v>
      </c>
      <c r="D441" s="8" t="s">
        <v>27</v>
      </c>
      <c r="E441" s="8" t="s">
        <v>14</v>
      </c>
      <c r="F441" s="8" t="s">
        <v>20</v>
      </c>
      <c r="G441" s="7">
        <v>5</v>
      </c>
      <c r="H441" s="7">
        <v>2278</v>
      </c>
      <c r="I441" s="7">
        <v>10813</v>
      </c>
      <c r="J441" s="7">
        <f t="shared" si="18"/>
        <v>11390</v>
      </c>
      <c r="K441" s="7">
        <f t="shared" si="19"/>
        <v>54065</v>
      </c>
      <c r="L441" s="8">
        <f t="shared" si="20"/>
        <v>42675</v>
      </c>
    </row>
    <row r="442" spans="1:12" x14ac:dyDescent="0.3">
      <c r="A442" s="8" t="s">
        <v>474</v>
      </c>
      <c r="B442" s="9">
        <v>45367</v>
      </c>
      <c r="C442" s="8" t="s">
        <v>16</v>
      </c>
      <c r="D442" s="8" t="s">
        <v>13</v>
      </c>
      <c r="E442" s="8" t="s">
        <v>14</v>
      </c>
      <c r="F442" s="8" t="s">
        <v>22</v>
      </c>
      <c r="G442" s="7">
        <v>2</v>
      </c>
      <c r="H442" s="7">
        <v>31576</v>
      </c>
      <c r="I442" s="7">
        <v>32037</v>
      </c>
      <c r="J442" s="7">
        <f t="shared" si="18"/>
        <v>63152</v>
      </c>
      <c r="K442" s="7">
        <f t="shared" si="19"/>
        <v>64074</v>
      </c>
      <c r="L442" s="8">
        <f t="shared" si="20"/>
        <v>922</v>
      </c>
    </row>
    <row r="443" spans="1:12" x14ac:dyDescent="0.3">
      <c r="A443" s="8" t="s">
        <v>475</v>
      </c>
      <c r="B443" s="9">
        <v>45368</v>
      </c>
      <c r="C443" s="8" t="s">
        <v>12</v>
      </c>
      <c r="D443" s="8" t="s">
        <v>13</v>
      </c>
      <c r="E443" s="8" t="s">
        <v>14</v>
      </c>
      <c r="F443" s="8" t="s">
        <v>20</v>
      </c>
      <c r="G443" s="7">
        <v>1</v>
      </c>
      <c r="H443" s="7">
        <v>31405</v>
      </c>
      <c r="I443" s="7">
        <v>38163</v>
      </c>
      <c r="J443" s="7">
        <f t="shared" si="18"/>
        <v>31405</v>
      </c>
      <c r="K443" s="7">
        <f t="shared" si="19"/>
        <v>38163</v>
      </c>
      <c r="L443" s="8">
        <f t="shared" si="20"/>
        <v>6758</v>
      </c>
    </row>
    <row r="444" spans="1:12" x14ac:dyDescent="0.3">
      <c r="A444" s="8" t="s">
        <v>476</v>
      </c>
      <c r="B444" s="9">
        <v>45369</v>
      </c>
      <c r="C444" s="8" t="s">
        <v>26</v>
      </c>
      <c r="D444" s="8" t="s">
        <v>17</v>
      </c>
      <c r="E444" s="8" t="s">
        <v>14</v>
      </c>
      <c r="F444" s="8" t="s">
        <v>22</v>
      </c>
      <c r="G444" s="7">
        <v>4</v>
      </c>
      <c r="H444" s="7">
        <v>18621</v>
      </c>
      <c r="I444" s="7">
        <v>27256</v>
      </c>
      <c r="J444" s="7">
        <f t="shared" si="18"/>
        <v>74484</v>
      </c>
      <c r="K444" s="7">
        <f t="shared" si="19"/>
        <v>109024</v>
      </c>
      <c r="L444" s="8">
        <f t="shared" si="20"/>
        <v>34540</v>
      </c>
    </row>
    <row r="445" spans="1:12" x14ac:dyDescent="0.3">
      <c r="A445" s="8" t="s">
        <v>477</v>
      </c>
      <c r="B445" s="9">
        <v>45370</v>
      </c>
      <c r="C445" s="8" t="s">
        <v>23</v>
      </c>
      <c r="D445" s="8" t="s">
        <v>21</v>
      </c>
      <c r="E445" s="8" t="s">
        <v>18</v>
      </c>
      <c r="F445" s="8" t="s">
        <v>19</v>
      </c>
      <c r="G445" s="7">
        <v>3</v>
      </c>
      <c r="H445" s="7">
        <v>33463</v>
      </c>
      <c r="I445" s="7">
        <v>39589</v>
      </c>
      <c r="J445" s="7">
        <f t="shared" si="18"/>
        <v>100389</v>
      </c>
      <c r="K445" s="7">
        <f t="shared" si="19"/>
        <v>118767</v>
      </c>
      <c r="L445" s="8">
        <f t="shared" si="20"/>
        <v>18378</v>
      </c>
    </row>
    <row r="446" spans="1:12" x14ac:dyDescent="0.3">
      <c r="A446" s="8" t="s">
        <v>478</v>
      </c>
      <c r="B446" s="9">
        <v>45371</v>
      </c>
      <c r="C446" s="8" t="s">
        <v>16</v>
      </c>
      <c r="D446" s="8" t="s">
        <v>17</v>
      </c>
      <c r="E446" s="8" t="s">
        <v>14</v>
      </c>
      <c r="F446" s="8" t="s">
        <v>22</v>
      </c>
      <c r="G446" s="7">
        <v>2</v>
      </c>
      <c r="H446" s="7">
        <v>24639</v>
      </c>
      <c r="I446" s="7">
        <v>33085</v>
      </c>
      <c r="J446" s="7">
        <f t="shared" si="18"/>
        <v>49278</v>
      </c>
      <c r="K446" s="7">
        <f t="shared" si="19"/>
        <v>66170</v>
      </c>
      <c r="L446" s="8">
        <f t="shared" si="20"/>
        <v>16892</v>
      </c>
    </row>
    <row r="447" spans="1:12" x14ac:dyDescent="0.3">
      <c r="A447" s="8" t="s">
        <v>479</v>
      </c>
      <c r="B447" s="9">
        <v>45372</v>
      </c>
      <c r="C447" s="8" t="s">
        <v>26</v>
      </c>
      <c r="D447" s="8" t="s">
        <v>13</v>
      </c>
      <c r="E447" s="8" t="s">
        <v>18</v>
      </c>
      <c r="F447" s="8" t="s">
        <v>25</v>
      </c>
      <c r="G447" s="7">
        <v>10</v>
      </c>
      <c r="H447" s="7">
        <v>38923</v>
      </c>
      <c r="I447" s="7">
        <v>47511</v>
      </c>
      <c r="J447" s="7">
        <f t="shared" si="18"/>
        <v>389230</v>
      </c>
      <c r="K447" s="7">
        <f t="shared" si="19"/>
        <v>475110</v>
      </c>
      <c r="L447" s="8">
        <f t="shared" si="20"/>
        <v>85880</v>
      </c>
    </row>
    <row r="448" spans="1:12" x14ac:dyDescent="0.3">
      <c r="A448" s="8" t="s">
        <v>480</v>
      </c>
      <c r="B448" s="9">
        <v>45373</v>
      </c>
      <c r="C448" s="8" t="s">
        <v>12</v>
      </c>
      <c r="D448" s="8" t="s">
        <v>17</v>
      </c>
      <c r="E448" s="8" t="s">
        <v>18</v>
      </c>
      <c r="F448" s="8" t="s">
        <v>25</v>
      </c>
      <c r="G448" s="7">
        <v>5</v>
      </c>
      <c r="H448" s="7">
        <v>26245</v>
      </c>
      <c r="I448" s="7">
        <v>32922</v>
      </c>
      <c r="J448" s="7">
        <f t="shared" si="18"/>
        <v>131225</v>
      </c>
      <c r="K448" s="7">
        <f t="shared" si="19"/>
        <v>164610</v>
      </c>
      <c r="L448" s="8">
        <f t="shared" si="20"/>
        <v>33385</v>
      </c>
    </row>
    <row r="449" spans="1:12" x14ac:dyDescent="0.3">
      <c r="A449" s="8" t="s">
        <v>481</v>
      </c>
      <c r="B449" s="9">
        <v>45374</v>
      </c>
      <c r="C449" s="8" t="s">
        <v>16</v>
      </c>
      <c r="D449" s="8" t="s">
        <v>21</v>
      </c>
      <c r="E449" s="8" t="s">
        <v>14</v>
      </c>
      <c r="F449" s="8" t="s">
        <v>20</v>
      </c>
      <c r="G449" s="7">
        <v>10</v>
      </c>
      <c r="H449" s="7">
        <v>15199</v>
      </c>
      <c r="I449" s="7">
        <v>18732</v>
      </c>
      <c r="J449" s="7">
        <f t="shared" si="18"/>
        <v>151990</v>
      </c>
      <c r="K449" s="7">
        <f t="shared" si="19"/>
        <v>187320</v>
      </c>
      <c r="L449" s="8">
        <f t="shared" si="20"/>
        <v>35330</v>
      </c>
    </row>
    <row r="450" spans="1:12" x14ac:dyDescent="0.3">
      <c r="A450" s="8" t="s">
        <v>482</v>
      </c>
      <c r="B450" s="9">
        <v>45375</v>
      </c>
      <c r="C450" s="8" t="s">
        <v>16</v>
      </c>
      <c r="D450" s="8" t="s">
        <v>29</v>
      </c>
      <c r="E450" s="8" t="s">
        <v>18</v>
      </c>
      <c r="F450" s="8" t="s">
        <v>25</v>
      </c>
      <c r="G450" s="7">
        <v>8</v>
      </c>
      <c r="H450" s="7">
        <v>12818</v>
      </c>
      <c r="I450" s="7">
        <v>15686</v>
      </c>
      <c r="J450" s="7">
        <f t="shared" si="18"/>
        <v>102544</v>
      </c>
      <c r="K450" s="7">
        <f t="shared" si="19"/>
        <v>125488</v>
      </c>
      <c r="L450" s="8">
        <f t="shared" si="20"/>
        <v>22944</v>
      </c>
    </row>
    <row r="451" spans="1:12" x14ac:dyDescent="0.3">
      <c r="A451" s="8" t="s">
        <v>483</v>
      </c>
      <c r="B451" s="9">
        <v>45376</v>
      </c>
      <c r="C451" s="8" t="s">
        <v>16</v>
      </c>
      <c r="D451" s="8" t="s">
        <v>17</v>
      </c>
      <c r="E451" s="8" t="s">
        <v>14</v>
      </c>
      <c r="F451" s="8" t="s">
        <v>22</v>
      </c>
      <c r="G451" s="7">
        <v>2</v>
      </c>
      <c r="H451" s="7">
        <v>15044</v>
      </c>
      <c r="I451" s="7">
        <v>22854</v>
      </c>
      <c r="J451" s="7">
        <f t="shared" ref="J451:J514" si="21">G451*H451</f>
        <v>30088</v>
      </c>
      <c r="K451" s="7">
        <f t="shared" ref="K451:K514" si="22">G451*I451</f>
        <v>45708</v>
      </c>
      <c r="L451" s="8">
        <f t="shared" ref="L451:L514" si="23">(I451-H451)*G451</f>
        <v>15620</v>
      </c>
    </row>
    <row r="452" spans="1:12" x14ac:dyDescent="0.3">
      <c r="A452" s="8" t="s">
        <v>484</v>
      </c>
      <c r="B452" s="9">
        <v>45377</v>
      </c>
      <c r="C452" s="8" t="s">
        <v>26</v>
      </c>
      <c r="D452" s="8" t="s">
        <v>21</v>
      </c>
      <c r="E452" s="8" t="s">
        <v>14</v>
      </c>
      <c r="F452" s="8" t="s">
        <v>15</v>
      </c>
      <c r="G452" s="7">
        <v>3</v>
      </c>
      <c r="H452" s="7">
        <v>37438</v>
      </c>
      <c r="I452" s="7">
        <v>40026</v>
      </c>
      <c r="J452" s="7">
        <f t="shared" si="21"/>
        <v>112314</v>
      </c>
      <c r="K452" s="7">
        <f t="shared" si="22"/>
        <v>120078</v>
      </c>
      <c r="L452" s="8">
        <f t="shared" si="23"/>
        <v>7764</v>
      </c>
    </row>
    <row r="453" spans="1:12" x14ac:dyDescent="0.3">
      <c r="A453" s="8" t="s">
        <v>485</v>
      </c>
      <c r="B453" s="9">
        <v>45378</v>
      </c>
      <c r="C453" s="8" t="s">
        <v>12</v>
      </c>
      <c r="D453" s="8" t="s">
        <v>21</v>
      </c>
      <c r="E453" s="8" t="s">
        <v>18</v>
      </c>
      <c r="F453" s="8" t="s">
        <v>28</v>
      </c>
      <c r="G453" s="7">
        <v>5</v>
      </c>
      <c r="H453" s="7">
        <v>26503</v>
      </c>
      <c r="I453" s="7">
        <v>35002</v>
      </c>
      <c r="J453" s="7">
        <f t="shared" si="21"/>
        <v>132515</v>
      </c>
      <c r="K453" s="7">
        <f t="shared" si="22"/>
        <v>175010</v>
      </c>
      <c r="L453" s="8">
        <f t="shared" si="23"/>
        <v>42495</v>
      </c>
    </row>
    <row r="454" spans="1:12" x14ac:dyDescent="0.3">
      <c r="A454" s="8" t="s">
        <v>486</v>
      </c>
      <c r="B454" s="9">
        <v>45379</v>
      </c>
      <c r="C454" s="8" t="s">
        <v>16</v>
      </c>
      <c r="D454" s="8" t="s">
        <v>27</v>
      </c>
      <c r="E454" s="8" t="s">
        <v>18</v>
      </c>
      <c r="F454" s="8" t="s">
        <v>25</v>
      </c>
      <c r="G454" s="7">
        <v>3</v>
      </c>
      <c r="H454" s="7">
        <v>10387</v>
      </c>
      <c r="I454" s="7">
        <v>13664</v>
      </c>
      <c r="J454" s="7">
        <f t="shared" si="21"/>
        <v>31161</v>
      </c>
      <c r="K454" s="7">
        <f t="shared" si="22"/>
        <v>40992</v>
      </c>
      <c r="L454" s="8">
        <f t="shared" si="23"/>
        <v>9831</v>
      </c>
    </row>
    <row r="455" spans="1:12" x14ac:dyDescent="0.3">
      <c r="A455" s="8" t="s">
        <v>487</v>
      </c>
      <c r="B455" s="9">
        <v>45380</v>
      </c>
      <c r="C455" s="8" t="s">
        <v>16</v>
      </c>
      <c r="D455" s="8" t="s">
        <v>27</v>
      </c>
      <c r="E455" s="8" t="s">
        <v>14</v>
      </c>
      <c r="F455" s="8" t="s">
        <v>20</v>
      </c>
      <c r="G455" s="7">
        <v>5</v>
      </c>
      <c r="H455" s="7">
        <v>20203</v>
      </c>
      <c r="I455" s="7">
        <v>27971</v>
      </c>
      <c r="J455" s="7">
        <f t="shared" si="21"/>
        <v>101015</v>
      </c>
      <c r="K455" s="7">
        <f t="shared" si="22"/>
        <v>139855</v>
      </c>
      <c r="L455" s="8">
        <f t="shared" si="23"/>
        <v>38840</v>
      </c>
    </row>
    <row r="456" spans="1:12" x14ac:dyDescent="0.3">
      <c r="A456" s="8" t="s">
        <v>488</v>
      </c>
      <c r="B456" s="9">
        <v>45381</v>
      </c>
      <c r="C456" s="8" t="s">
        <v>16</v>
      </c>
      <c r="D456" s="8" t="s">
        <v>17</v>
      </c>
      <c r="E456" s="8" t="s">
        <v>14</v>
      </c>
      <c r="F456" s="8" t="s">
        <v>20</v>
      </c>
      <c r="G456" s="7">
        <v>8</v>
      </c>
      <c r="H456" s="7">
        <v>7947</v>
      </c>
      <c r="I456" s="7">
        <v>12937</v>
      </c>
      <c r="J456" s="7">
        <f t="shared" si="21"/>
        <v>63576</v>
      </c>
      <c r="K456" s="7">
        <f t="shared" si="22"/>
        <v>103496</v>
      </c>
      <c r="L456" s="8">
        <f t="shared" si="23"/>
        <v>39920</v>
      </c>
    </row>
    <row r="457" spans="1:12" x14ac:dyDescent="0.3">
      <c r="A457" s="8" t="s">
        <v>489</v>
      </c>
      <c r="B457" s="9">
        <v>45382</v>
      </c>
      <c r="C457" s="8" t="s">
        <v>23</v>
      </c>
      <c r="D457" s="8" t="s">
        <v>17</v>
      </c>
      <c r="E457" s="8" t="s">
        <v>14</v>
      </c>
      <c r="F457" s="8" t="s">
        <v>22</v>
      </c>
      <c r="G457" s="7">
        <v>9</v>
      </c>
      <c r="H457" s="7">
        <v>2060</v>
      </c>
      <c r="I457" s="7">
        <v>5382</v>
      </c>
      <c r="J457" s="7">
        <f t="shared" si="21"/>
        <v>18540</v>
      </c>
      <c r="K457" s="7">
        <f t="shared" si="22"/>
        <v>48438</v>
      </c>
      <c r="L457" s="8">
        <f t="shared" si="23"/>
        <v>29898</v>
      </c>
    </row>
    <row r="458" spans="1:12" x14ac:dyDescent="0.3">
      <c r="A458" s="8" t="s">
        <v>490</v>
      </c>
      <c r="B458" s="9">
        <v>45383</v>
      </c>
      <c r="C458" s="8" t="s">
        <v>23</v>
      </c>
      <c r="D458" s="8" t="s">
        <v>13</v>
      </c>
      <c r="E458" s="8" t="s">
        <v>14</v>
      </c>
      <c r="F458" s="8" t="s">
        <v>20</v>
      </c>
      <c r="G458" s="7">
        <v>8</v>
      </c>
      <c r="H458" s="7">
        <v>6390</v>
      </c>
      <c r="I458" s="7">
        <v>14530</v>
      </c>
      <c r="J458" s="7">
        <f t="shared" si="21"/>
        <v>51120</v>
      </c>
      <c r="K458" s="7">
        <f t="shared" si="22"/>
        <v>116240</v>
      </c>
      <c r="L458" s="8">
        <f t="shared" si="23"/>
        <v>65120</v>
      </c>
    </row>
    <row r="459" spans="1:12" x14ac:dyDescent="0.3">
      <c r="A459" s="8" t="s">
        <v>491</v>
      </c>
      <c r="B459" s="9">
        <v>45384</v>
      </c>
      <c r="C459" s="8" t="s">
        <v>16</v>
      </c>
      <c r="D459" s="8" t="s">
        <v>21</v>
      </c>
      <c r="E459" s="8" t="s">
        <v>18</v>
      </c>
      <c r="F459" s="8" t="s">
        <v>19</v>
      </c>
      <c r="G459" s="7">
        <v>9</v>
      </c>
      <c r="H459" s="7">
        <v>38898</v>
      </c>
      <c r="I459" s="7">
        <v>41255</v>
      </c>
      <c r="J459" s="7">
        <f t="shared" si="21"/>
        <v>350082</v>
      </c>
      <c r="K459" s="7">
        <f t="shared" si="22"/>
        <v>371295</v>
      </c>
      <c r="L459" s="8">
        <f t="shared" si="23"/>
        <v>21213</v>
      </c>
    </row>
    <row r="460" spans="1:12" x14ac:dyDescent="0.3">
      <c r="A460" s="8" t="s">
        <v>492</v>
      </c>
      <c r="B460" s="9">
        <v>45385</v>
      </c>
      <c r="C460" s="8" t="s">
        <v>16</v>
      </c>
      <c r="D460" s="8" t="s">
        <v>17</v>
      </c>
      <c r="E460" s="8" t="s">
        <v>14</v>
      </c>
      <c r="F460" s="8" t="s">
        <v>20</v>
      </c>
      <c r="G460" s="7">
        <v>8</v>
      </c>
      <c r="H460" s="7">
        <v>25723</v>
      </c>
      <c r="I460" s="7">
        <v>34669</v>
      </c>
      <c r="J460" s="7">
        <f t="shared" si="21"/>
        <v>205784</v>
      </c>
      <c r="K460" s="7">
        <f t="shared" si="22"/>
        <v>277352</v>
      </c>
      <c r="L460" s="8">
        <f t="shared" si="23"/>
        <v>71568</v>
      </c>
    </row>
    <row r="461" spans="1:12" x14ac:dyDescent="0.3">
      <c r="A461" s="8" t="s">
        <v>493</v>
      </c>
      <c r="B461" s="9">
        <v>45386</v>
      </c>
      <c r="C461" s="8" t="s">
        <v>12</v>
      </c>
      <c r="D461" s="8" t="s">
        <v>21</v>
      </c>
      <c r="E461" s="8" t="s">
        <v>14</v>
      </c>
      <c r="F461" s="8" t="s">
        <v>22</v>
      </c>
      <c r="G461" s="7">
        <v>10</v>
      </c>
      <c r="H461" s="7">
        <v>25458</v>
      </c>
      <c r="I461" s="7">
        <v>26741</v>
      </c>
      <c r="J461" s="7">
        <f t="shared" si="21"/>
        <v>254580</v>
      </c>
      <c r="K461" s="7">
        <f t="shared" si="22"/>
        <v>267410</v>
      </c>
      <c r="L461" s="8">
        <f t="shared" si="23"/>
        <v>12830</v>
      </c>
    </row>
    <row r="462" spans="1:12" x14ac:dyDescent="0.3">
      <c r="A462" s="8" t="s">
        <v>494</v>
      </c>
      <c r="B462" s="9">
        <v>45387</v>
      </c>
      <c r="C462" s="8" t="s">
        <v>16</v>
      </c>
      <c r="D462" s="8" t="s">
        <v>24</v>
      </c>
      <c r="E462" s="8" t="s">
        <v>18</v>
      </c>
      <c r="F462" s="8" t="s">
        <v>28</v>
      </c>
      <c r="G462" s="7">
        <v>1</v>
      </c>
      <c r="H462" s="7">
        <v>34051</v>
      </c>
      <c r="I462" s="7">
        <v>34743</v>
      </c>
      <c r="J462" s="7">
        <f t="shared" si="21"/>
        <v>34051</v>
      </c>
      <c r="K462" s="7">
        <f t="shared" si="22"/>
        <v>34743</v>
      </c>
      <c r="L462" s="8">
        <f t="shared" si="23"/>
        <v>692</v>
      </c>
    </row>
    <row r="463" spans="1:12" x14ac:dyDescent="0.3">
      <c r="A463" s="8" t="s">
        <v>495</v>
      </c>
      <c r="B463" s="9">
        <v>45388</v>
      </c>
      <c r="C463" s="8" t="s">
        <v>16</v>
      </c>
      <c r="D463" s="8" t="s">
        <v>13</v>
      </c>
      <c r="E463" s="8" t="s">
        <v>18</v>
      </c>
      <c r="F463" s="8" t="s">
        <v>28</v>
      </c>
      <c r="G463" s="7">
        <v>1</v>
      </c>
      <c r="H463" s="7">
        <v>11366</v>
      </c>
      <c r="I463" s="7">
        <v>13407</v>
      </c>
      <c r="J463" s="7">
        <f t="shared" si="21"/>
        <v>11366</v>
      </c>
      <c r="K463" s="7">
        <f t="shared" si="22"/>
        <v>13407</v>
      </c>
      <c r="L463" s="8">
        <f t="shared" si="23"/>
        <v>2041</v>
      </c>
    </row>
    <row r="464" spans="1:12" x14ac:dyDescent="0.3">
      <c r="A464" s="8" t="s">
        <v>496</v>
      </c>
      <c r="B464" s="9">
        <v>45389</v>
      </c>
      <c r="C464" s="8" t="s">
        <v>12</v>
      </c>
      <c r="D464" s="8" t="s">
        <v>21</v>
      </c>
      <c r="E464" s="8" t="s">
        <v>14</v>
      </c>
      <c r="F464" s="8" t="s">
        <v>20</v>
      </c>
      <c r="G464" s="7">
        <v>7</v>
      </c>
      <c r="H464" s="7">
        <v>13921</v>
      </c>
      <c r="I464" s="7">
        <v>14739</v>
      </c>
      <c r="J464" s="7">
        <f t="shared" si="21"/>
        <v>97447</v>
      </c>
      <c r="K464" s="7">
        <f t="shared" si="22"/>
        <v>103173</v>
      </c>
      <c r="L464" s="8">
        <f t="shared" si="23"/>
        <v>5726</v>
      </c>
    </row>
    <row r="465" spans="1:12" x14ac:dyDescent="0.3">
      <c r="A465" s="8" t="s">
        <v>497</v>
      </c>
      <c r="B465" s="9">
        <v>45390</v>
      </c>
      <c r="C465" s="8" t="s">
        <v>16</v>
      </c>
      <c r="D465" s="8" t="s">
        <v>27</v>
      </c>
      <c r="E465" s="8" t="s">
        <v>18</v>
      </c>
      <c r="F465" s="8" t="s">
        <v>25</v>
      </c>
      <c r="G465" s="7">
        <v>10</v>
      </c>
      <c r="H465" s="7">
        <v>9265</v>
      </c>
      <c r="I465" s="7">
        <v>16340</v>
      </c>
      <c r="J465" s="7">
        <f t="shared" si="21"/>
        <v>92650</v>
      </c>
      <c r="K465" s="7">
        <f t="shared" si="22"/>
        <v>163400</v>
      </c>
      <c r="L465" s="8">
        <f t="shared" si="23"/>
        <v>70750</v>
      </c>
    </row>
    <row r="466" spans="1:12" x14ac:dyDescent="0.3">
      <c r="A466" s="8" t="s">
        <v>498</v>
      </c>
      <c r="B466" s="9">
        <v>45391</v>
      </c>
      <c r="C466" s="8" t="s">
        <v>12</v>
      </c>
      <c r="D466" s="8" t="s">
        <v>21</v>
      </c>
      <c r="E466" s="8" t="s">
        <v>14</v>
      </c>
      <c r="F466" s="8" t="s">
        <v>15</v>
      </c>
      <c r="G466" s="7">
        <v>2</v>
      </c>
      <c r="H466" s="7">
        <v>26990</v>
      </c>
      <c r="I466" s="7">
        <v>33262</v>
      </c>
      <c r="J466" s="7">
        <f t="shared" si="21"/>
        <v>53980</v>
      </c>
      <c r="K466" s="7">
        <f t="shared" si="22"/>
        <v>66524</v>
      </c>
      <c r="L466" s="8">
        <f t="shared" si="23"/>
        <v>12544</v>
      </c>
    </row>
    <row r="467" spans="1:12" x14ac:dyDescent="0.3">
      <c r="A467" s="8" t="s">
        <v>499</v>
      </c>
      <c r="B467" s="9">
        <v>45392</v>
      </c>
      <c r="C467" s="8" t="s">
        <v>16</v>
      </c>
      <c r="D467" s="8" t="s">
        <v>29</v>
      </c>
      <c r="E467" s="8" t="s">
        <v>18</v>
      </c>
      <c r="F467" s="8" t="s">
        <v>19</v>
      </c>
      <c r="G467" s="7">
        <v>2</v>
      </c>
      <c r="H467" s="7">
        <v>22904</v>
      </c>
      <c r="I467" s="7">
        <v>31832</v>
      </c>
      <c r="J467" s="7">
        <f t="shared" si="21"/>
        <v>45808</v>
      </c>
      <c r="K467" s="7">
        <f t="shared" si="22"/>
        <v>63664</v>
      </c>
      <c r="L467" s="8">
        <f t="shared" si="23"/>
        <v>17856</v>
      </c>
    </row>
    <row r="468" spans="1:12" x14ac:dyDescent="0.3">
      <c r="A468" s="8" t="s">
        <v>500</v>
      </c>
      <c r="B468" s="9">
        <v>45393</v>
      </c>
      <c r="C468" s="8" t="s">
        <v>23</v>
      </c>
      <c r="D468" s="8" t="s">
        <v>27</v>
      </c>
      <c r="E468" s="8" t="s">
        <v>18</v>
      </c>
      <c r="F468" s="8" t="s">
        <v>28</v>
      </c>
      <c r="G468" s="7">
        <v>2</v>
      </c>
      <c r="H468" s="7">
        <v>10200</v>
      </c>
      <c r="I468" s="7">
        <v>19241</v>
      </c>
      <c r="J468" s="7">
        <f t="shared" si="21"/>
        <v>20400</v>
      </c>
      <c r="K468" s="7">
        <f t="shared" si="22"/>
        <v>38482</v>
      </c>
      <c r="L468" s="8">
        <f t="shared" si="23"/>
        <v>18082</v>
      </c>
    </row>
    <row r="469" spans="1:12" x14ac:dyDescent="0.3">
      <c r="A469" s="8" t="s">
        <v>501</v>
      </c>
      <c r="B469" s="9">
        <v>45394</v>
      </c>
      <c r="C469" s="8" t="s">
        <v>23</v>
      </c>
      <c r="D469" s="8" t="s">
        <v>17</v>
      </c>
      <c r="E469" s="8" t="s">
        <v>18</v>
      </c>
      <c r="F469" s="8" t="s">
        <v>19</v>
      </c>
      <c r="G469" s="7">
        <v>3</v>
      </c>
      <c r="H469" s="7">
        <v>18600</v>
      </c>
      <c r="I469" s="7">
        <v>24967</v>
      </c>
      <c r="J469" s="7">
        <f t="shared" si="21"/>
        <v>55800</v>
      </c>
      <c r="K469" s="7">
        <f t="shared" si="22"/>
        <v>74901</v>
      </c>
      <c r="L469" s="8">
        <f t="shared" si="23"/>
        <v>19101</v>
      </c>
    </row>
    <row r="470" spans="1:12" x14ac:dyDescent="0.3">
      <c r="A470" s="8" t="s">
        <v>502</v>
      </c>
      <c r="B470" s="9">
        <v>45395</v>
      </c>
      <c r="C470" s="8" t="s">
        <v>23</v>
      </c>
      <c r="D470" s="8" t="s">
        <v>29</v>
      </c>
      <c r="E470" s="8" t="s">
        <v>14</v>
      </c>
      <c r="F470" s="8" t="s">
        <v>15</v>
      </c>
      <c r="G470" s="7">
        <v>4</v>
      </c>
      <c r="H470" s="7">
        <v>39975</v>
      </c>
      <c r="I470" s="7">
        <v>43568</v>
      </c>
      <c r="J470" s="7">
        <f t="shared" si="21"/>
        <v>159900</v>
      </c>
      <c r="K470" s="7">
        <f t="shared" si="22"/>
        <v>174272</v>
      </c>
      <c r="L470" s="8">
        <f t="shared" si="23"/>
        <v>14372</v>
      </c>
    </row>
    <row r="471" spans="1:12" x14ac:dyDescent="0.3">
      <c r="A471" s="8" t="s">
        <v>503</v>
      </c>
      <c r="B471" s="9">
        <v>45396</v>
      </c>
      <c r="C471" s="8" t="s">
        <v>12</v>
      </c>
      <c r="D471" s="8" t="s">
        <v>17</v>
      </c>
      <c r="E471" s="8" t="s">
        <v>14</v>
      </c>
      <c r="F471" s="8" t="s">
        <v>22</v>
      </c>
      <c r="G471" s="7">
        <v>3</v>
      </c>
      <c r="H471" s="7">
        <v>17392</v>
      </c>
      <c r="I471" s="7">
        <v>22142</v>
      </c>
      <c r="J471" s="7">
        <f t="shared" si="21"/>
        <v>52176</v>
      </c>
      <c r="K471" s="7">
        <f t="shared" si="22"/>
        <v>66426</v>
      </c>
      <c r="L471" s="8">
        <f t="shared" si="23"/>
        <v>14250</v>
      </c>
    </row>
    <row r="472" spans="1:12" x14ac:dyDescent="0.3">
      <c r="A472" s="8" t="s">
        <v>504</v>
      </c>
      <c r="B472" s="9">
        <v>45397</v>
      </c>
      <c r="C472" s="8" t="s">
        <v>26</v>
      </c>
      <c r="D472" s="8" t="s">
        <v>21</v>
      </c>
      <c r="E472" s="8" t="s">
        <v>14</v>
      </c>
      <c r="F472" s="8" t="s">
        <v>15</v>
      </c>
      <c r="G472" s="7">
        <v>6</v>
      </c>
      <c r="H472" s="7">
        <v>14288</v>
      </c>
      <c r="I472" s="7">
        <v>23843</v>
      </c>
      <c r="J472" s="7">
        <f t="shared" si="21"/>
        <v>85728</v>
      </c>
      <c r="K472" s="7">
        <f t="shared" si="22"/>
        <v>143058</v>
      </c>
      <c r="L472" s="8">
        <f t="shared" si="23"/>
        <v>57330</v>
      </c>
    </row>
    <row r="473" spans="1:12" x14ac:dyDescent="0.3">
      <c r="A473" s="8" t="s">
        <v>505</v>
      </c>
      <c r="B473" s="9">
        <v>45398</v>
      </c>
      <c r="C473" s="8" t="s">
        <v>26</v>
      </c>
      <c r="D473" s="8" t="s">
        <v>24</v>
      </c>
      <c r="E473" s="8" t="s">
        <v>18</v>
      </c>
      <c r="F473" s="8" t="s">
        <v>28</v>
      </c>
      <c r="G473" s="7">
        <v>3</v>
      </c>
      <c r="H473" s="7">
        <v>35038</v>
      </c>
      <c r="I473" s="7">
        <v>35770</v>
      </c>
      <c r="J473" s="7">
        <f t="shared" si="21"/>
        <v>105114</v>
      </c>
      <c r="K473" s="7">
        <f t="shared" si="22"/>
        <v>107310</v>
      </c>
      <c r="L473" s="8">
        <f t="shared" si="23"/>
        <v>2196</v>
      </c>
    </row>
    <row r="474" spans="1:12" x14ac:dyDescent="0.3">
      <c r="A474" s="8" t="s">
        <v>506</v>
      </c>
      <c r="B474" s="9">
        <v>45399</v>
      </c>
      <c r="C474" s="8" t="s">
        <v>23</v>
      </c>
      <c r="D474" s="8" t="s">
        <v>27</v>
      </c>
      <c r="E474" s="8" t="s">
        <v>18</v>
      </c>
      <c r="F474" s="8" t="s">
        <v>28</v>
      </c>
      <c r="G474" s="7">
        <v>3</v>
      </c>
      <c r="H474" s="7">
        <v>24443</v>
      </c>
      <c r="I474" s="7">
        <v>29661</v>
      </c>
      <c r="J474" s="7">
        <f t="shared" si="21"/>
        <v>73329</v>
      </c>
      <c r="K474" s="7">
        <f t="shared" si="22"/>
        <v>88983</v>
      </c>
      <c r="L474" s="8">
        <f t="shared" si="23"/>
        <v>15654</v>
      </c>
    </row>
    <row r="475" spans="1:12" x14ac:dyDescent="0.3">
      <c r="A475" s="8" t="s">
        <v>507</v>
      </c>
      <c r="B475" s="9">
        <v>45400</v>
      </c>
      <c r="C475" s="8" t="s">
        <v>23</v>
      </c>
      <c r="D475" s="8" t="s">
        <v>13</v>
      </c>
      <c r="E475" s="8" t="s">
        <v>18</v>
      </c>
      <c r="F475" s="8" t="s">
        <v>19</v>
      </c>
      <c r="G475" s="7">
        <v>6</v>
      </c>
      <c r="H475" s="7">
        <v>12654</v>
      </c>
      <c r="I475" s="7">
        <v>17365</v>
      </c>
      <c r="J475" s="7">
        <f t="shared" si="21"/>
        <v>75924</v>
      </c>
      <c r="K475" s="7">
        <f t="shared" si="22"/>
        <v>104190</v>
      </c>
      <c r="L475" s="8">
        <f t="shared" si="23"/>
        <v>28266</v>
      </c>
    </row>
    <row r="476" spans="1:12" x14ac:dyDescent="0.3">
      <c r="A476" s="8" t="s">
        <v>508</v>
      </c>
      <c r="B476" s="9">
        <v>45401</v>
      </c>
      <c r="C476" s="8" t="s">
        <v>12</v>
      </c>
      <c r="D476" s="8" t="s">
        <v>27</v>
      </c>
      <c r="E476" s="8" t="s">
        <v>14</v>
      </c>
      <c r="F476" s="8" t="s">
        <v>15</v>
      </c>
      <c r="G476" s="7">
        <v>7</v>
      </c>
      <c r="H476" s="7">
        <v>30937</v>
      </c>
      <c r="I476" s="7">
        <v>36858</v>
      </c>
      <c r="J476" s="7">
        <f t="shared" si="21"/>
        <v>216559</v>
      </c>
      <c r="K476" s="7">
        <f t="shared" si="22"/>
        <v>258006</v>
      </c>
      <c r="L476" s="8">
        <f t="shared" si="23"/>
        <v>41447</v>
      </c>
    </row>
    <row r="477" spans="1:12" x14ac:dyDescent="0.3">
      <c r="A477" s="8" t="s">
        <v>509</v>
      </c>
      <c r="B477" s="9">
        <v>45402</v>
      </c>
      <c r="C477" s="8" t="s">
        <v>16</v>
      </c>
      <c r="D477" s="8" t="s">
        <v>29</v>
      </c>
      <c r="E477" s="8" t="s">
        <v>14</v>
      </c>
      <c r="F477" s="8" t="s">
        <v>22</v>
      </c>
      <c r="G477" s="7">
        <v>6</v>
      </c>
      <c r="H477" s="7">
        <v>39139</v>
      </c>
      <c r="I477" s="7">
        <v>43375</v>
      </c>
      <c r="J477" s="7">
        <f t="shared" si="21"/>
        <v>234834</v>
      </c>
      <c r="K477" s="7">
        <f t="shared" si="22"/>
        <v>260250</v>
      </c>
      <c r="L477" s="8">
        <f t="shared" si="23"/>
        <v>25416</v>
      </c>
    </row>
    <row r="478" spans="1:12" x14ac:dyDescent="0.3">
      <c r="A478" s="8" t="s">
        <v>510</v>
      </c>
      <c r="B478" s="9">
        <v>45403</v>
      </c>
      <c r="C478" s="8" t="s">
        <v>12</v>
      </c>
      <c r="D478" s="8" t="s">
        <v>13</v>
      </c>
      <c r="E478" s="8" t="s">
        <v>18</v>
      </c>
      <c r="F478" s="8" t="s">
        <v>25</v>
      </c>
      <c r="G478" s="7">
        <v>6</v>
      </c>
      <c r="H478" s="7">
        <v>29642</v>
      </c>
      <c r="I478" s="7">
        <v>33246</v>
      </c>
      <c r="J478" s="7">
        <f t="shared" si="21"/>
        <v>177852</v>
      </c>
      <c r="K478" s="7">
        <f t="shared" si="22"/>
        <v>199476</v>
      </c>
      <c r="L478" s="8">
        <f t="shared" si="23"/>
        <v>21624</v>
      </c>
    </row>
    <row r="479" spans="1:12" x14ac:dyDescent="0.3">
      <c r="A479" s="8" t="s">
        <v>511</v>
      </c>
      <c r="B479" s="9">
        <v>45404</v>
      </c>
      <c r="C479" s="8" t="s">
        <v>16</v>
      </c>
      <c r="D479" s="8" t="s">
        <v>27</v>
      </c>
      <c r="E479" s="8" t="s">
        <v>18</v>
      </c>
      <c r="F479" s="8" t="s">
        <v>28</v>
      </c>
      <c r="G479" s="7">
        <v>6</v>
      </c>
      <c r="H479" s="7">
        <v>20154</v>
      </c>
      <c r="I479" s="7">
        <v>25640</v>
      </c>
      <c r="J479" s="7">
        <f t="shared" si="21"/>
        <v>120924</v>
      </c>
      <c r="K479" s="7">
        <f t="shared" si="22"/>
        <v>153840</v>
      </c>
      <c r="L479" s="8">
        <f t="shared" si="23"/>
        <v>32916</v>
      </c>
    </row>
    <row r="480" spans="1:12" x14ac:dyDescent="0.3">
      <c r="A480" s="8" t="s">
        <v>512</v>
      </c>
      <c r="B480" s="9">
        <v>45405</v>
      </c>
      <c r="C480" s="8" t="s">
        <v>16</v>
      </c>
      <c r="D480" s="8" t="s">
        <v>29</v>
      </c>
      <c r="E480" s="8" t="s">
        <v>18</v>
      </c>
      <c r="F480" s="8" t="s">
        <v>28</v>
      </c>
      <c r="G480" s="7">
        <v>3</v>
      </c>
      <c r="H480" s="7">
        <v>18997</v>
      </c>
      <c r="I480" s="7">
        <v>25919</v>
      </c>
      <c r="J480" s="7">
        <f t="shared" si="21"/>
        <v>56991</v>
      </c>
      <c r="K480" s="7">
        <f t="shared" si="22"/>
        <v>77757</v>
      </c>
      <c r="L480" s="8">
        <f t="shared" si="23"/>
        <v>20766</v>
      </c>
    </row>
    <row r="481" spans="1:12" x14ac:dyDescent="0.3">
      <c r="A481" s="8" t="s">
        <v>513</v>
      </c>
      <c r="B481" s="9">
        <v>45406</v>
      </c>
      <c r="C481" s="8" t="s">
        <v>12</v>
      </c>
      <c r="D481" s="8" t="s">
        <v>13</v>
      </c>
      <c r="E481" s="8" t="s">
        <v>18</v>
      </c>
      <c r="F481" s="8" t="s">
        <v>25</v>
      </c>
      <c r="G481" s="7">
        <v>5</v>
      </c>
      <c r="H481" s="7">
        <v>4736</v>
      </c>
      <c r="I481" s="7">
        <v>5968</v>
      </c>
      <c r="J481" s="7">
        <f t="shared" si="21"/>
        <v>23680</v>
      </c>
      <c r="K481" s="7">
        <f t="shared" si="22"/>
        <v>29840</v>
      </c>
      <c r="L481" s="8">
        <f t="shared" si="23"/>
        <v>6160</v>
      </c>
    </row>
    <row r="482" spans="1:12" x14ac:dyDescent="0.3">
      <c r="A482" s="8" t="s">
        <v>514</v>
      </c>
      <c r="B482" s="9">
        <v>45407</v>
      </c>
      <c r="C482" s="8" t="s">
        <v>23</v>
      </c>
      <c r="D482" s="8" t="s">
        <v>17</v>
      </c>
      <c r="E482" s="8" t="s">
        <v>14</v>
      </c>
      <c r="F482" s="8" t="s">
        <v>20</v>
      </c>
      <c r="G482" s="7">
        <v>7</v>
      </c>
      <c r="H482" s="7">
        <v>4073</v>
      </c>
      <c r="I482" s="7">
        <v>10914</v>
      </c>
      <c r="J482" s="7">
        <f t="shared" si="21"/>
        <v>28511</v>
      </c>
      <c r="K482" s="7">
        <f t="shared" si="22"/>
        <v>76398</v>
      </c>
      <c r="L482" s="8">
        <f t="shared" si="23"/>
        <v>47887</v>
      </c>
    </row>
    <row r="483" spans="1:12" x14ac:dyDescent="0.3">
      <c r="A483" s="8" t="s">
        <v>515</v>
      </c>
      <c r="B483" s="9">
        <v>45408</v>
      </c>
      <c r="C483" s="8" t="s">
        <v>12</v>
      </c>
      <c r="D483" s="8" t="s">
        <v>21</v>
      </c>
      <c r="E483" s="8" t="s">
        <v>18</v>
      </c>
      <c r="F483" s="8" t="s">
        <v>25</v>
      </c>
      <c r="G483" s="7">
        <v>9</v>
      </c>
      <c r="H483" s="7">
        <v>33144</v>
      </c>
      <c r="I483" s="7">
        <v>37652</v>
      </c>
      <c r="J483" s="7">
        <f t="shared" si="21"/>
        <v>298296</v>
      </c>
      <c r="K483" s="7">
        <f t="shared" si="22"/>
        <v>338868</v>
      </c>
      <c r="L483" s="8">
        <f t="shared" si="23"/>
        <v>40572</v>
      </c>
    </row>
    <row r="484" spans="1:12" x14ac:dyDescent="0.3">
      <c r="A484" s="8" t="s">
        <v>516</v>
      </c>
      <c r="B484" s="9">
        <v>45409</v>
      </c>
      <c r="C484" s="8" t="s">
        <v>16</v>
      </c>
      <c r="D484" s="8" t="s">
        <v>17</v>
      </c>
      <c r="E484" s="8" t="s">
        <v>18</v>
      </c>
      <c r="F484" s="8" t="s">
        <v>28</v>
      </c>
      <c r="G484" s="7">
        <v>9</v>
      </c>
      <c r="H484" s="7">
        <v>36576</v>
      </c>
      <c r="I484" s="7">
        <v>44663</v>
      </c>
      <c r="J484" s="7">
        <f t="shared" si="21"/>
        <v>329184</v>
      </c>
      <c r="K484" s="7">
        <f t="shared" si="22"/>
        <v>401967</v>
      </c>
      <c r="L484" s="8">
        <f t="shared" si="23"/>
        <v>72783</v>
      </c>
    </row>
    <row r="485" spans="1:12" x14ac:dyDescent="0.3">
      <c r="A485" s="8" t="s">
        <v>517</v>
      </c>
      <c r="B485" s="9">
        <v>45410</v>
      </c>
      <c r="C485" s="8" t="s">
        <v>12</v>
      </c>
      <c r="D485" s="8" t="s">
        <v>24</v>
      </c>
      <c r="E485" s="8" t="s">
        <v>14</v>
      </c>
      <c r="F485" s="8" t="s">
        <v>15</v>
      </c>
      <c r="G485" s="7">
        <v>4</v>
      </c>
      <c r="H485" s="7">
        <v>19410</v>
      </c>
      <c r="I485" s="7">
        <v>20626</v>
      </c>
      <c r="J485" s="7">
        <f t="shared" si="21"/>
        <v>77640</v>
      </c>
      <c r="K485" s="7">
        <f t="shared" si="22"/>
        <v>82504</v>
      </c>
      <c r="L485" s="8">
        <f t="shared" si="23"/>
        <v>4864</v>
      </c>
    </row>
    <row r="486" spans="1:12" x14ac:dyDescent="0.3">
      <c r="A486" s="8" t="s">
        <v>518</v>
      </c>
      <c r="B486" s="9">
        <v>45411</v>
      </c>
      <c r="C486" s="8" t="s">
        <v>26</v>
      </c>
      <c r="D486" s="8" t="s">
        <v>27</v>
      </c>
      <c r="E486" s="8" t="s">
        <v>18</v>
      </c>
      <c r="F486" s="8" t="s">
        <v>19</v>
      </c>
      <c r="G486" s="7">
        <v>3</v>
      </c>
      <c r="H486" s="7">
        <v>29187</v>
      </c>
      <c r="I486" s="7">
        <v>32082</v>
      </c>
      <c r="J486" s="7">
        <f t="shared" si="21"/>
        <v>87561</v>
      </c>
      <c r="K486" s="7">
        <f t="shared" si="22"/>
        <v>96246</v>
      </c>
      <c r="L486" s="8">
        <f t="shared" si="23"/>
        <v>8685</v>
      </c>
    </row>
    <row r="487" spans="1:12" x14ac:dyDescent="0.3">
      <c r="A487" s="8" t="s">
        <v>519</v>
      </c>
      <c r="B487" s="9">
        <v>45412</v>
      </c>
      <c r="C487" s="8" t="s">
        <v>12</v>
      </c>
      <c r="D487" s="8" t="s">
        <v>21</v>
      </c>
      <c r="E487" s="8" t="s">
        <v>18</v>
      </c>
      <c r="F487" s="8" t="s">
        <v>19</v>
      </c>
      <c r="G487" s="7">
        <v>10</v>
      </c>
      <c r="H487" s="7">
        <v>19042</v>
      </c>
      <c r="I487" s="7">
        <v>21257</v>
      </c>
      <c r="J487" s="7">
        <f t="shared" si="21"/>
        <v>190420</v>
      </c>
      <c r="K487" s="7">
        <f t="shared" si="22"/>
        <v>212570</v>
      </c>
      <c r="L487" s="8">
        <f t="shared" si="23"/>
        <v>22150</v>
      </c>
    </row>
    <row r="488" spans="1:12" x14ac:dyDescent="0.3">
      <c r="A488" s="8" t="s">
        <v>520</v>
      </c>
      <c r="B488" s="9">
        <v>45413</v>
      </c>
      <c r="C488" s="8" t="s">
        <v>16</v>
      </c>
      <c r="D488" s="8" t="s">
        <v>17</v>
      </c>
      <c r="E488" s="8" t="s">
        <v>14</v>
      </c>
      <c r="F488" s="8" t="s">
        <v>22</v>
      </c>
      <c r="G488" s="7">
        <v>7</v>
      </c>
      <c r="H488" s="7">
        <v>16048</v>
      </c>
      <c r="I488" s="7">
        <v>16326</v>
      </c>
      <c r="J488" s="7">
        <f t="shared" si="21"/>
        <v>112336</v>
      </c>
      <c r="K488" s="7">
        <f t="shared" si="22"/>
        <v>114282</v>
      </c>
      <c r="L488" s="8">
        <f t="shared" si="23"/>
        <v>1946</v>
      </c>
    </row>
    <row r="489" spans="1:12" x14ac:dyDescent="0.3">
      <c r="A489" s="8" t="s">
        <v>521</v>
      </c>
      <c r="B489" s="9">
        <v>45414</v>
      </c>
      <c r="C489" s="8" t="s">
        <v>26</v>
      </c>
      <c r="D489" s="8" t="s">
        <v>13</v>
      </c>
      <c r="E489" s="8" t="s">
        <v>14</v>
      </c>
      <c r="F489" s="8" t="s">
        <v>20</v>
      </c>
      <c r="G489" s="7">
        <v>6</v>
      </c>
      <c r="H489" s="7">
        <v>33812</v>
      </c>
      <c r="I489" s="7">
        <v>43263</v>
      </c>
      <c r="J489" s="7">
        <f t="shared" si="21"/>
        <v>202872</v>
      </c>
      <c r="K489" s="7">
        <f t="shared" si="22"/>
        <v>259578</v>
      </c>
      <c r="L489" s="8">
        <f t="shared" si="23"/>
        <v>56706</v>
      </c>
    </row>
    <row r="490" spans="1:12" x14ac:dyDescent="0.3">
      <c r="A490" s="8" t="s">
        <v>522</v>
      </c>
      <c r="B490" s="9">
        <v>45415</v>
      </c>
      <c r="C490" s="8" t="s">
        <v>23</v>
      </c>
      <c r="D490" s="8" t="s">
        <v>27</v>
      </c>
      <c r="E490" s="8" t="s">
        <v>18</v>
      </c>
      <c r="F490" s="8" t="s">
        <v>25</v>
      </c>
      <c r="G490" s="7">
        <v>10</v>
      </c>
      <c r="H490" s="7">
        <v>11329</v>
      </c>
      <c r="I490" s="7">
        <v>11827</v>
      </c>
      <c r="J490" s="7">
        <f t="shared" si="21"/>
        <v>113290</v>
      </c>
      <c r="K490" s="7">
        <f t="shared" si="22"/>
        <v>118270</v>
      </c>
      <c r="L490" s="8">
        <f t="shared" si="23"/>
        <v>4980</v>
      </c>
    </row>
    <row r="491" spans="1:12" x14ac:dyDescent="0.3">
      <c r="A491" s="8" t="s">
        <v>523</v>
      </c>
      <c r="B491" s="9">
        <v>45416</v>
      </c>
      <c r="C491" s="8" t="s">
        <v>12</v>
      </c>
      <c r="D491" s="8" t="s">
        <v>27</v>
      </c>
      <c r="E491" s="8" t="s">
        <v>14</v>
      </c>
      <c r="F491" s="8" t="s">
        <v>15</v>
      </c>
      <c r="G491" s="7">
        <v>9</v>
      </c>
      <c r="H491" s="7">
        <v>14704</v>
      </c>
      <c r="I491" s="7">
        <v>21844</v>
      </c>
      <c r="J491" s="7">
        <f t="shared" si="21"/>
        <v>132336</v>
      </c>
      <c r="K491" s="7">
        <f t="shared" si="22"/>
        <v>196596</v>
      </c>
      <c r="L491" s="8">
        <f t="shared" si="23"/>
        <v>64260</v>
      </c>
    </row>
    <row r="492" spans="1:12" x14ac:dyDescent="0.3">
      <c r="A492" s="8" t="s">
        <v>524</v>
      </c>
      <c r="B492" s="9">
        <v>45417</v>
      </c>
      <c r="C492" s="8" t="s">
        <v>12</v>
      </c>
      <c r="D492" s="8" t="s">
        <v>13</v>
      </c>
      <c r="E492" s="8" t="s">
        <v>18</v>
      </c>
      <c r="F492" s="8" t="s">
        <v>28</v>
      </c>
      <c r="G492" s="7">
        <v>3</v>
      </c>
      <c r="H492" s="7">
        <v>18202</v>
      </c>
      <c r="I492" s="7">
        <v>22196</v>
      </c>
      <c r="J492" s="7">
        <f t="shared" si="21"/>
        <v>54606</v>
      </c>
      <c r="K492" s="7">
        <f t="shared" si="22"/>
        <v>66588</v>
      </c>
      <c r="L492" s="8">
        <f t="shared" si="23"/>
        <v>11982</v>
      </c>
    </row>
    <row r="493" spans="1:12" x14ac:dyDescent="0.3">
      <c r="A493" s="8" t="s">
        <v>525</v>
      </c>
      <c r="B493" s="9">
        <v>45418</v>
      </c>
      <c r="C493" s="8" t="s">
        <v>26</v>
      </c>
      <c r="D493" s="8" t="s">
        <v>17</v>
      </c>
      <c r="E493" s="8" t="s">
        <v>14</v>
      </c>
      <c r="F493" s="8" t="s">
        <v>20</v>
      </c>
      <c r="G493" s="7">
        <v>10</v>
      </c>
      <c r="H493" s="7">
        <v>7238</v>
      </c>
      <c r="I493" s="7">
        <v>9876</v>
      </c>
      <c r="J493" s="7">
        <f t="shared" si="21"/>
        <v>72380</v>
      </c>
      <c r="K493" s="7">
        <f t="shared" si="22"/>
        <v>98760</v>
      </c>
      <c r="L493" s="8">
        <f t="shared" si="23"/>
        <v>26380</v>
      </c>
    </row>
    <row r="494" spans="1:12" x14ac:dyDescent="0.3">
      <c r="A494" s="8" t="s">
        <v>526</v>
      </c>
      <c r="B494" s="9">
        <v>45419</v>
      </c>
      <c r="C494" s="8" t="s">
        <v>12</v>
      </c>
      <c r="D494" s="8" t="s">
        <v>29</v>
      </c>
      <c r="E494" s="8" t="s">
        <v>18</v>
      </c>
      <c r="F494" s="8" t="s">
        <v>25</v>
      </c>
      <c r="G494" s="7">
        <v>4</v>
      </c>
      <c r="H494" s="7">
        <v>27876</v>
      </c>
      <c r="I494" s="7">
        <v>34141</v>
      </c>
      <c r="J494" s="7">
        <f t="shared" si="21"/>
        <v>111504</v>
      </c>
      <c r="K494" s="7">
        <f t="shared" si="22"/>
        <v>136564</v>
      </c>
      <c r="L494" s="8">
        <f t="shared" si="23"/>
        <v>25060</v>
      </c>
    </row>
    <row r="495" spans="1:12" x14ac:dyDescent="0.3">
      <c r="A495" s="8" t="s">
        <v>527</v>
      </c>
      <c r="B495" s="9">
        <v>45420</v>
      </c>
      <c r="C495" s="8" t="s">
        <v>16</v>
      </c>
      <c r="D495" s="8" t="s">
        <v>27</v>
      </c>
      <c r="E495" s="8" t="s">
        <v>18</v>
      </c>
      <c r="F495" s="8" t="s">
        <v>28</v>
      </c>
      <c r="G495" s="7">
        <v>3</v>
      </c>
      <c r="H495" s="7">
        <v>36655</v>
      </c>
      <c r="I495" s="7">
        <v>37015</v>
      </c>
      <c r="J495" s="7">
        <f t="shared" si="21"/>
        <v>109965</v>
      </c>
      <c r="K495" s="7">
        <f t="shared" si="22"/>
        <v>111045</v>
      </c>
      <c r="L495" s="8">
        <f t="shared" si="23"/>
        <v>1080</v>
      </c>
    </row>
    <row r="496" spans="1:12" x14ac:dyDescent="0.3">
      <c r="A496" s="8" t="s">
        <v>528</v>
      </c>
      <c r="B496" s="9">
        <v>45421</v>
      </c>
      <c r="C496" s="8" t="s">
        <v>12</v>
      </c>
      <c r="D496" s="8" t="s">
        <v>24</v>
      </c>
      <c r="E496" s="8" t="s">
        <v>18</v>
      </c>
      <c r="F496" s="8" t="s">
        <v>25</v>
      </c>
      <c r="G496" s="7">
        <v>5</v>
      </c>
      <c r="H496" s="7">
        <v>21165</v>
      </c>
      <c r="I496" s="7">
        <v>22995</v>
      </c>
      <c r="J496" s="7">
        <f t="shared" si="21"/>
        <v>105825</v>
      </c>
      <c r="K496" s="7">
        <f t="shared" si="22"/>
        <v>114975</v>
      </c>
      <c r="L496" s="8">
        <f t="shared" si="23"/>
        <v>9150</v>
      </c>
    </row>
    <row r="497" spans="1:12" x14ac:dyDescent="0.3">
      <c r="A497" s="8" t="s">
        <v>529</v>
      </c>
      <c r="B497" s="9">
        <v>45422</v>
      </c>
      <c r="C497" s="8" t="s">
        <v>16</v>
      </c>
      <c r="D497" s="8" t="s">
        <v>27</v>
      </c>
      <c r="E497" s="8" t="s">
        <v>18</v>
      </c>
      <c r="F497" s="8" t="s">
        <v>19</v>
      </c>
      <c r="G497" s="7">
        <v>7</v>
      </c>
      <c r="H497" s="7">
        <v>7948</v>
      </c>
      <c r="I497" s="7">
        <v>11686</v>
      </c>
      <c r="J497" s="7">
        <f t="shared" si="21"/>
        <v>55636</v>
      </c>
      <c r="K497" s="7">
        <f t="shared" si="22"/>
        <v>81802</v>
      </c>
      <c r="L497" s="8">
        <f t="shared" si="23"/>
        <v>26166</v>
      </c>
    </row>
    <row r="498" spans="1:12" x14ac:dyDescent="0.3">
      <c r="A498" s="8" t="s">
        <v>530</v>
      </c>
      <c r="B498" s="9">
        <v>45423</v>
      </c>
      <c r="C498" s="8" t="s">
        <v>12</v>
      </c>
      <c r="D498" s="8" t="s">
        <v>17</v>
      </c>
      <c r="E498" s="8" t="s">
        <v>14</v>
      </c>
      <c r="F498" s="8" t="s">
        <v>22</v>
      </c>
      <c r="G498" s="7">
        <v>5</v>
      </c>
      <c r="H498" s="7">
        <v>12571</v>
      </c>
      <c r="I498" s="7">
        <v>20774</v>
      </c>
      <c r="J498" s="7">
        <f t="shared" si="21"/>
        <v>62855</v>
      </c>
      <c r="K498" s="7">
        <f t="shared" si="22"/>
        <v>103870</v>
      </c>
      <c r="L498" s="8">
        <f t="shared" si="23"/>
        <v>41015</v>
      </c>
    </row>
    <row r="499" spans="1:12" x14ac:dyDescent="0.3">
      <c r="A499" s="8" t="s">
        <v>531</v>
      </c>
      <c r="B499" s="9">
        <v>45424</v>
      </c>
      <c r="C499" s="8" t="s">
        <v>23</v>
      </c>
      <c r="D499" s="8" t="s">
        <v>24</v>
      </c>
      <c r="E499" s="8" t="s">
        <v>18</v>
      </c>
      <c r="F499" s="8" t="s">
        <v>19</v>
      </c>
      <c r="G499" s="7">
        <v>7</v>
      </c>
      <c r="H499" s="7">
        <v>11880</v>
      </c>
      <c r="I499" s="7">
        <v>12597</v>
      </c>
      <c r="J499" s="7">
        <f t="shared" si="21"/>
        <v>83160</v>
      </c>
      <c r="K499" s="7">
        <f t="shared" si="22"/>
        <v>88179</v>
      </c>
      <c r="L499" s="8">
        <f t="shared" si="23"/>
        <v>5019</v>
      </c>
    </row>
    <row r="500" spans="1:12" x14ac:dyDescent="0.3">
      <c r="A500" s="8" t="s">
        <v>532</v>
      </c>
      <c r="B500" s="9">
        <v>45425</v>
      </c>
      <c r="C500" s="8" t="s">
        <v>16</v>
      </c>
      <c r="D500" s="8" t="s">
        <v>27</v>
      </c>
      <c r="E500" s="8" t="s">
        <v>18</v>
      </c>
      <c r="F500" s="8" t="s">
        <v>25</v>
      </c>
      <c r="G500" s="7">
        <v>4</v>
      </c>
      <c r="H500" s="7">
        <v>14808</v>
      </c>
      <c r="I500" s="7">
        <v>23237</v>
      </c>
      <c r="J500" s="7">
        <f t="shared" si="21"/>
        <v>59232</v>
      </c>
      <c r="K500" s="7">
        <f t="shared" si="22"/>
        <v>92948</v>
      </c>
      <c r="L500" s="8">
        <f t="shared" si="23"/>
        <v>33716</v>
      </c>
    </row>
    <row r="501" spans="1:12" x14ac:dyDescent="0.3">
      <c r="A501" s="8" t="s">
        <v>533</v>
      </c>
      <c r="B501" s="9">
        <v>45426</v>
      </c>
      <c r="C501" s="8" t="s">
        <v>12</v>
      </c>
      <c r="D501" s="8" t="s">
        <v>29</v>
      </c>
      <c r="E501" s="8" t="s">
        <v>14</v>
      </c>
      <c r="F501" s="8" t="s">
        <v>20</v>
      </c>
      <c r="G501" s="7">
        <v>9</v>
      </c>
      <c r="H501" s="7">
        <v>14728</v>
      </c>
      <c r="I501" s="7">
        <v>19569</v>
      </c>
      <c r="J501" s="7">
        <f t="shared" si="21"/>
        <v>132552</v>
      </c>
      <c r="K501" s="7">
        <f t="shared" si="22"/>
        <v>176121</v>
      </c>
      <c r="L501" s="8">
        <f t="shared" si="23"/>
        <v>43569</v>
      </c>
    </row>
    <row r="502" spans="1:12" x14ac:dyDescent="0.3">
      <c r="A502" s="8" t="s">
        <v>534</v>
      </c>
      <c r="B502" s="9">
        <v>45427</v>
      </c>
      <c r="C502" s="8" t="s">
        <v>26</v>
      </c>
      <c r="D502" s="8" t="s">
        <v>29</v>
      </c>
      <c r="E502" s="8" t="s">
        <v>18</v>
      </c>
      <c r="F502" s="8" t="s">
        <v>28</v>
      </c>
      <c r="G502" s="7">
        <v>10</v>
      </c>
      <c r="H502" s="7">
        <v>21577</v>
      </c>
      <c r="I502" s="7">
        <v>24858</v>
      </c>
      <c r="J502" s="7">
        <f t="shared" si="21"/>
        <v>215770</v>
      </c>
      <c r="K502" s="7">
        <f t="shared" si="22"/>
        <v>248580</v>
      </c>
      <c r="L502" s="8">
        <f t="shared" si="23"/>
        <v>32810</v>
      </c>
    </row>
    <row r="503" spans="1:12" x14ac:dyDescent="0.3">
      <c r="A503" s="8" t="s">
        <v>535</v>
      </c>
      <c r="B503" s="9">
        <v>45428</v>
      </c>
      <c r="C503" s="8" t="s">
        <v>26</v>
      </c>
      <c r="D503" s="8" t="s">
        <v>21</v>
      </c>
      <c r="E503" s="8" t="s">
        <v>14</v>
      </c>
      <c r="F503" s="8" t="s">
        <v>22</v>
      </c>
      <c r="G503" s="7">
        <v>1</v>
      </c>
      <c r="H503" s="7">
        <v>20680</v>
      </c>
      <c r="I503" s="7">
        <v>24395</v>
      </c>
      <c r="J503" s="7">
        <f t="shared" si="21"/>
        <v>20680</v>
      </c>
      <c r="K503" s="7">
        <f t="shared" si="22"/>
        <v>24395</v>
      </c>
      <c r="L503" s="8">
        <f t="shared" si="23"/>
        <v>3715</v>
      </c>
    </row>
    <row r="504" spans="1:12" x14ac:dyDescent="0.3">
      <c r="A504" s="8" t="s">
        <v>536</v>
      </c>
      <c r="B504" s="9">
        <v>45429</v>
      </c>
      <c r="C504" s="8" t="s">
        <v>26</v>
      </c>
      <c r="D504" s="8" t="s">
        <v>21</v>
      </c>
      <c r="E504" s="8" t="s">
        <v>18</v>
      </c>
      <c r="F504" s="8" t="s">
        <v>19</v>
      </c>
      <c r="G504" s="7">
        <v>4</v>
      </c>
      <c r="H504" s="7">
        <v>2704</v>
      </c>
      <c r="I504" s="7">
        <v>3473</v>
      </c>
      <c r="J504" s="7">
        <f t="shared" si="21"/>
        <v>10816</v>
      </c>
      <c r="K504" s="7">
        <f t="shared" si="22"/>
        <v>13892</v>
      </c>
      <c r="L504" s="8">
        <f t="shared" si="23"/>
        <v>3076</v>
      </c>
    </row>
    <row r="505" spans="1:12" x14ac:dyDescent="0.3">
      <c r="A505" s="8" t="s">
        <v>537</v>
      </c>
      <c r="B505" s="9">
        <v>45430</v>
      </c>
      <c r="C505" s="8" t="s">
        <v>26</v>
      </c>
      <c r="D505" s="8" t="s">
        <v>21</v>
      </c>
      <c r="E505" s="8" t="s">
        <v>18</v>
      </c>
      <c r="F505" s="8" t="s">
        <v>28</v>
      </c>
      <c r="G505" s="7">
        <v>4</v>
      </c>
      <c r="H505" s="7">
        <v>6904</v>
      </c>
      <c r="I505" s="7">
        <v>9856</v>
      </c>
      <c r="J505" s="7">
        <f t="shared" si="21"/>
        <v>27616</v>
      </c>
      <c r="K505" s="7">
        <f t="shared" si="22"/>
        <v>39424</v>
      </c>
      <c r="L505" s="8">
        <f t="shared" si="23"/>
        <v>11808</v>
      </c>
    </row>
    <row r="506" spans="1:12" x14ac:dyDescent="0.3">
      <c r="A506" s="8" t="s">
        <v>538</v>
      </c>
      <c r="B506" s="9">
        <v>45431</v>
      </c>
      <c r="C506" s="8" t="s">
        <v>12</v>
      </c>
      <c r="D506" s="8" t="s">
        <v>29</v>
      </c>
      <c r="E506" s="8" t="s">
        <v>18</v>
      </c>
      <c r="F506" s="8" t="s">
        <v>28</v>
      </c>
      <c r="G506" s="7">
        <v>6</v>
      </c>
      <c r="H506" s="7">
        <v>30008</v>
      </c>
      <c r="I506" s="7">
        <v>35165</v>
      </c>
      <c r="J506" s="7">
        <f t="shared" si="21"/>
        <v>180048</v>
      </c>
      <c r="K506" s="7">
        <f t="shared" si="22"/>
        <v>210990</v>
      </c>
      <c r="L506" s="8">
        <f t="shared" si="23"/>
        <v>30942</v>
      </c>
    </row>
    <row r="507" spans="1:12" x14ac:dyDescent="0.3">
      <c r="A507" s="8" t="s">
        <v>539</v>
      </c>
      <c r="B507" s="9">
        <v>45432</v>
      </c>
      <c r="C507" s="8" t="s">
        <v>12</v>
      </c>
      <c r="D507" s="8" t="s">
        <v>29</v>
      </c>
      <c r="E507" s="8" t="s">
        <v>14</v>
      </c>
      <c r="F507" s="8" t="s">
        <v>22</v>
      </c>
      <c r="G507" s="7">
        <v>1</v>
      </c>
      <c r="H507" s="7">
        <v>17893</v>
      </c>
      <c r="I507" s="7">
        <v>20233</v>
      </c>
      <c r="J507" s="7">
        <f t="shared" si="21"/>
        <v>17893</v>
      </c>
      <c r="K507" s="7">
        <f t="shared" si="22"/>
        <v>20233</v>
      </c>
      <c r="L507" s="8">
        <f t="shared" si="23"/>
        <v>2340</v>
      </c>
    </row>
    <row r="508" spans="1:12" x14ac:dyDescent="0.3">
      <c r="A508" s="8" t="s">
        <v>540</v>
      </c>
      <c r="B508" s="9">
        <v>45433</v>
      </c>
      <c r="C508" s="8" t="s">
        <v>26</v>
      </c>
      <c r="D508" s="8" t="s">
        <v>13</v>
      </c>
      <c r="E508" s="8" t="s">
        <v>14</v>
      </c>
      <c r="F508" s="8" t="s">
        <v>20</v>
      </c>
      <c r="G508" s="7">
        <v>1</v>
      </c>
      <c r="H508" s="7">
        <v>39831</v>
      </c>
      <c r="I508" s="7">
        <v>40281</v>
      </c>
      <c r="J508" s="7">
        <f t="shared" si="21"/>
        <v>39831</v>
      </c>
      <c r="K508" s="7">
        <f t="shared" si="22"/>
        <v>40281</v>
      </c>
      <c r="L508" s="8">
        <f t="shared" si="23"/>
        <v>450</v>
      </c>
    </row>
    <row r="509" spans="1:12" x14ac:dyDescent="0.3">
      <c r="A509" s="8" t="s">
        <v>541</v>
      </c>
      <c r="B509" s="9">
        <v>45434</v>
      </c>
      <c r="C509" s="8" t="s">
        <v>23</v>
      </c>
      <c r="D509" s="8" t="s">
        <v>21</v>
      </c>
      <c r="E509" s="8" t="s">
        <v>18</v>
      </c>
      <c r="F509" s="8" t="s">
        <v>19</v>
      </c>
      <c r="G509" s="7">
        <v>9</v>
      </c>
      <c r="H509" s="7">
        <v>12809</v>
      </c>
      <c r="I509" s="7">
        <v>14722</v>
      </c>
      <c r="J509" s="7">
        <f t="shared" si="21"/>
        <v>115281</v>
      </c>
      <c r="K509" s="7">
        <f t="shared" si="22"/>
        <v>132498</v>
      </c>
      <c r="L509" s="8">
        <f t="shared" si="23"/>
        <v>17217</v>
      </c>
    </row>
    <row r="510" spans="1:12" x14ac:dyDescent="0.3">
      <c r="A510" s="8" t="s">
        <v>542</v>
      </c>
      <c r="B510" s="9">
        <v>45435</v>
      </c>
      <c r="C510" s="8" t="s">
        <v>12</v>
      </c>
      <c r="D510" s="8" t="s">
        <v>21</v>
      </c>
      <c r="E510" s="8" t="s">
        <v>18</v>
      </c>
      <c r="F510" s="8" t="s">
        <v>25</v>
      </c>
      <c r="G510" s="7">
        <v>3</v>
      </c>
      <c r="H510" s="7">
        <v>27763</v>
      </c>
      <c r="I510" s="7">
        <v>31969</v>
      </c>
      <c r="J510" s="7">
        <f t="shared" si="21"/>
        <v>83289</v>
      </c>
      <c r="K510" s="7">
        <f t="shared" si="22"/>
        <v>95907</v>
      </c>
      <c r="L510" s="8">
        <f t="shared" si="23"/>
        <v>12618</v>
      </c>
    </row>
    <row r="511" spans="1:12" x14ac:dyDescent="0.3">
      <c r="A511" s="8" t="s">
        <v>543</v>
      </c>
      <c r="B511" s="9">
        <v>45436</v>
      </c>
      <c r="C511" s="8" t="s">
        <v>23</v>
      </c>
      <c r="D511" s="8" t="s">
        <v>27</v>
      </c>
      <c r="E511" s="8" t="s">
        <v>18</v>
      </c>
      <c r="F511" s="8" t="s">
        <v>28</v>
      </c>
      <c r="G511" s="7">
        <v>7</v>
      </c>
      <c r="H511" s="7">
        <v>28576</v>
      </c>
      <c r="I511" s="7">
        <v>33522</v>
      </c>
      <c r="J511" s="7">
        <f t="shared" si="21"/>
        <v>200032</v>
      </c>
      <c r="K511" s="7">
        <f t="shared" si="22"/>
        <v>234654</v>
      </c>
      <c r="L511" s="8">
        <f t="shared" si="23"/>
        <v>34622</v>
      </c>
    </row>
    <row r="512" spans="1:12" x14ac:dyDescent="0.3">
      <c r="A512" s="8" t="s">
        <v>544</v>
      </c>
      <c r="B512" s="9">
        <v>45437</v>
      </c>
      <c r="C512" s="8" t="s">
        <v>16</v>
      </c>
      <c r="D512" s="8" t="s">
        <v>29</v>
      </c>
      <c r="E512" s="8" t="s">
        <v>18</v>
      </c>
      <c r="F512" s="8" t="s">
        <v>25</v>
      </c>
      <c r="G512" s="7">
        <v>2</v>
      </c>
      <c r="H512" s="7">
        <v>1097</v>
      </c>
      <c r="I512" s="7">
        <v>1409</v>
      </c>
      <c r="J512" s="7">
        <f t="shared" si="21"/>
        <v>2194</v>
      </c>
      <c r="K512" s="7">
        <f t="shared" si="22"/>
        <v>2818</v>
      </c>
      <c r="L512" s="8">
        <f t="shared" si="23"/>
        <v>624</v>
      </c>
    </row>
    <row r="513" spans="1:12" x14ac:dyDescent="0.3">
      <c r="A513" s="8" t="s">
        <v>545</v>
      </c>
      <c r="B513" s="9">
        <v>45438</v>
      </c>
      <c r="C513" s="8" t="s">
        <v>26</v>
      </c>
      <c r="D513" s="8" t="s">
        <v>21</v>
      </c>
      <c r="E513" s="8" t="s">
        <v>18</v>
      </c>
      <c r="F513" s="8" t="s">
        <v>19</v>
      </c>
      <c r="G513" s="7">
        <v>2</v>
      </c>
      <c r="H513" s="7">
        <v>2084</v>
      </c>
      <c r="I513" s="7">
        <v>6054</v>
      </c>
      <c r="J513" s="7">
        <f t="shared" si="21"/>
        <v>4168</v>
      </c>
      <c r="K513" s="7">
        <f t="shared" si="22"/>
        <v>12108</v>
      </c>
      <c r="L513" s="8">
        <f t="shared" si="23"/>
        <v>7940</v>
      </c>
    </row>
    <row r="514" spans="1:12" x14ac:dyDescent="0.3">
      <c r="A514" s="8" t="s">
        <v>546</v>
      </c>
      <c r="B514" s="9">
        <v>45439</v>
      </c>
      <c r="C514" s="8" t="s">
        <v>16</v>
      </c>
      <c r="D514" s="8" t="s">
        <v>29</v>
      </c>
      <c r="E514" s="8" t="s">
        <v>14</v>
      </c>
      <c r="F514" s="8" t="s">
        <v>22</v>
      </c>
      <c r="G514" s="7">
        <v>7</v>
      </c>
      <c r="H514" s="7">
        <v>28168</v>
      </c>
      <c r="I514" s="7">
        <v>35566</v>
      </c>
      <c r="J514" s="7">
        <f t="shared" si="21"/>
        <v>197176</v>
      </c>
      <c r="K514" s="7">
        <f t="shared" si="22"/>
        <v>248962</v>
      </c>
      <c r="L514" s="8">
        <f t="shared" si="23"/>
        <v>51786</v>
      </c>
    </row>
    <row r="515" spans="1:12" x14ac:dyDescent="0.3">
      <c r="A515" s="8" t="s">
        <v>547</v>
      </c>
      <c r="B515" s="9">
        <v>45440</v>
      </c>
      <c r="C515" s="8" t="s">
        <v>26</v>
      </c>
      <c r="D515" s="8" t="s">
        <v>29</v>
      </c>
      <c r="E515" s="8" t="s">
        <v>18</v>
      </c>
      <c r="F515" s="8" t="s">
        <v>19</v>
      </c>
      <c r="G515" s="7">
        <v>6</v>
      </c>
      <c r="H515" s="7">
        <v>26880</v>
      </c>
      <c r="I515" s="7">
        <v>27786</v>
      </c>
      <c r="J515" s="7">
        <f t="shared" ref="J515:J578" si="24">G515*H515</f>
        <v>161280</v>
      </c>
      <c r="K515" s="7">
        <f t="shared" ref="K515:K578" si="25">G515*I515</f>
        <v>166716</v>
      </c>
      <c r="L515" s="8">
        <f t="shared" ref="L515:L578" si="26">(I515-H515)*G515</f>
        <v>5436</v>
      </c>
    </row>
    <row r="516" spans="1:12" x14ac:dyDescent="0.3">
      <c r="A516" s="8" t="s">
        <v>548</v>
      </c>
      <c r="B516" s="9">
        <v>45441</v>
      </c>
      <c r="C516" s="8" t="s">
        <v>16</v>
      </c>
      <c r="D516" s="8" t="s">
        <v>27</v>
      </c>
      <c r="E516" s="8" t="s">
        <v>14</v>
      </c>
      <c r="F516" s="8" t="s">
        <v>20</v>
      </c>
      <c r="G516" s="7">
        <v>6</v>
      </c>
      <c r="H516" s="7">
        <v>19539</v>
      </c>
      <c r="I516" s="7">
        <v>25185</v>
      </c>
      <c r="J516" s="7">
        <f t="shared" si="24"/>
        <v>117234</v>
      </c>
      <c r="K516" s="7">
        <f t="shared" si="25"/>
        <v>151110</v>
      </c>
      <c r="L516" s="8">
        <f t="shared" si="26"/>
        <v>33876</v>
      </c>
    </row>
    <row r="517" spans="1:12" x14ac:dyDescent="0.3">
      <c r="A517" s="8" t="s">
        <v>549</v>
      </c>
      <c r="B517" s="9">
        <v>45442</v>
      </c>
      <c r="C517" s="8" t="s">
        <v>12</v>
      </c>
      <c r="D517" s="8" t="s">
        <v>29</v>
      </c>
      <c r="E517" s="8" t="s">
        <v>14</v>
      </c>
      <c r="F517" s="8" t="s">
        <v>20</v>
      </c>
      <c r="G517" s="7">
        <v>7</v>
      </c>
      <c r="H517" s="7">
        <v>14245</v>
      </c>
      <c r="I517" s="7">
        <v>23063</v>
      </c>
      <c r="J517" s="7">
        <f t="shared" si="24"/>
        <v>99715</v>
      </c>
      <c r="K517" s="7">
        <f t="shared" si="25"/>
        <v>161441</v>
      </c>
      <c r="L517" s="8">
        <f t="shared" si="26"/>
        <v>61726</v>
      </c>
    </row>
    <row r="518" spans="1:12" x14ac:dyDescent="0.3">
      <c r="A518" s="8" t="s">
        <v>550</v>
      </c>
      <c r="B518" s="9">
        <v>45443</v>
      </c>
      <c r="C518" s="8" t="s">
        <v>26</v>
      </c>
      <c r="D518" s="8" t="s">
        <v>13</v>
      </c>
      <c r="E518" s="8" t="s">
        <v>18</v>
      </c>
      <c r="F518" s="8" t="s">
        <v>25</v>
      </c>
      <c r="G518" s="7">
        <v>8</v>
      </c>
      <c r="H518" s="7">
        <v>23772</v>
      </c>
      <c r="I518" s="7">
        <v>30025</v>
      </c>
      <c r="J518" s="7">
        <f t="shared" si="24"/>
        <v>190176</v>
      </c>
      <c r="K518" s="7">
        <f t="shared" si="25"/>
        <v>240200</v>
      </c>
      <c r="L518" s="8">
        <f t="shared" si="26"/>
        <v>50024</v>
      </c>
    </row>
    <row r="519" spans="1:12" x14ac:dyDescent="0.3">
      <c r="A519" s="8" t="s">
        <v>551</v>
      </c>
      <c r="B519" s="9">
        <v>45444</v>
      </c>
      <c r="C519" s="8" t="s">
        <v>26</v>
      </c>
      <c r="D519" s="8" t="s">
        <v>24</v>
      </c>
      <c r="E519" s="8" t="s">
        <v>18</v>
      </c>
      <c r="F519" s="8" t="s">
        <v>28</v>
      </c>
      <c r="G519" s="7">
        <v>8</v>
      </c>
      <c r="H519" s="7">
        <v>31735</v>
      </c>
      <c r="I519" s="7">
        <v>38965</v>
      </c>
      <c r="J519" s="7">
        <f t="shared" si="24"/>
        <v>253880</v>
      </c>
      <c r="K519" s="7">
        <f t="shared" si="25"/>
        <v>311720</v>
      </c>
      <c r="L519" s="8">
        <f t="shared" si="26"/>
        <v>57840</v>
      </c>
    </row>
    <row r="520" spans="1:12" x14ac:dyDescent="0.3">
      <c r="A520" s="8" t="s">
        <v>552</v>
      </c>
      <c r="B520" s="9">
        <v>45445</v>
      </c>
      <c r="C520" s="8" t="s">
        <v>26</v>
      </c>
      <c r="D520" s="8" t="s">
        <v>27</v>
      </c>
      <c r="E520" s="8" t="s">
        <v>14</v>
      </c>
      <c r="F520" s="8" t="s">
        <v>22</v>
      </c>
      <c r="G520" s="7">
        <v>8</v>
      </c>
      <c r="H520" s="7">
        <v>18190</v>
      </c>
      <c r="I520" s="7">
        <v>27524</v>
      </c>
      <c r="J520" s="7">
        <f t="shared" si="24"/>
        <v>145520</v>
      </c>
      <c r="K520" s="7">
        <f t="shared" si="25"/>
        <v>220192</v>
      </c>
      <c r="L520" s="8">
        <f t="shared" si="26"/>
        <v>74672</v>
      </c>
    </row>
    <row r="521" spans="1:12" x14ac:dyDescent="0.3">
      <c r="A521" s="8" t="s">
        <v>553</v>
      </c>
      <c r="B521" s="9">
        <v>45446</v>
      </c>
      <c r="C521" s="8" t="s">
        <v>23</v>
      </c>
      <c r="D521" s="8" t="s">
        <v>27</v>
      </c>
      <c r="E521" s="8" t="s">
        <v>14</v>
      </c>
      <c r="F521" s="8" t="s">
        <v>15</v>
      </c>
      <c r="G521" s="7">
        <v>8</v>
      </c>
      <c r="H521" s="7">
        <v>23890</v>
      </c>
      <c r="I521" s="7">
        <v>25127</v>
      </c>
      <c r="J521" s="7">
        <f t="shared" si="24"/>
        <v>191120</v>
      </c>
      <c r="K521" s="7">
        <f t="shared" si="25"/>
        <v>201016</v>
      </c>
      <c r="L521" s="8">
        <f t="shared" si="26"/>
        <v>9896</v>
      </c>
    </row>
    <row r="522" spans="1:12" x14ac:dyDescent="0.3">
      <c r="A522" s="8" t="s">
        <v>554</v>
      </c>
      <c r="B522" s="9">
        <v>45447</v>
      </c>
      <c r="C522" s="8" t="s">
        <v>12</v>
      </c>
      <c r="D522" s="8" t="s">
        <v>13</v>
      </c>
      <c r="E522" s="8" t="s">
        <v>18</v>
      </c>
      <c r="F522" s="8" t="s">
        <v>28</v>
      </c>
      <c r="G522" s="7">
        <v>2</v>
      </c>
      <c r="H522" s="7">
        <v>21937</v>
      </c>
      <c r="I522" s="7">
        <v>27167</v>
      </c>
      <c r="J522" s="7">
        <f t="shared" si="24"/>
        <v>43874</v>
      </c>
      <c r="K522" s="7">
        <f t="shared" si="25"/>
        <v>54334</v>
      </c>
      <c r="L522" s="8">
        <f t="shared" si="26"/>
        <v>10460</v>
      </c>
    </row>
    <row r="523" spans="1:12" x14ac:dyDescent="0.3">
      <c r="A523" s="8" t="s">
        <v>555</v>
      </c>
      <c r="B523" s="9">
        <v>45448</v>
      </c>
      <c r="C523" s="8" t="s">
        <v>23</v>
      </c>
      <c r="D523" s="8" t="s">
        <v>24</v>
      </c>
      <c r="E523" s="8" t="s">
        <v>14</v>
      </c>
      <c r="F523" s="8" t="s">
        <v>20</v>
      </c>
      <c r="G523" s="7">
        <v>6</v>
      </c>
      <c r="H523" s="7">
        <v>10480</v>
      </c>
      <c r="I523" s="7">
        <v>14377</v>
      </c>
      <c r="J523" s="7">
        <f t="shared" si="24"/>
        <v>62880</v>
      </c>
      <c r="K523" s="7">
        <f t="shared" si="25"/>
        <v>86262</v>
      </c>
      <c r="L523" s="8">
        <f t="shared" si="26"/>
        <v>23382</v>
      </c>
    </row>
    <row r="524" spans="1:12" x14ac:dyDescent="0.3">
      <c r="A524" s="8" t="s">
        <v>556</v>
      </c>
      <c r="B524" s="9">
        <v>45449</v>
      </c>
      <c r="C524" s="8" t="s">
        <v>26</v>
      </c>
      <c r="D524" s="8" t="s">
        <v>21</v>
      </c>
      <c r="E524" s="8" t="s">
        <v>14</v>
      </c>
      <c r="F524" s="8" t="s">
        <v>15</v>
      </c>
      <c r="G524" s="7">
        <v>5</v>
      </c>
      <c r="H524" s="7">
        <v>33063</v>
      </c>
      <c r="I524" s="7">
        <v>34834</v>
      </c>
      <c r="J524" s="7">
        <f t="shared" si="24"/>
        <v>165315</v>
      </c>
      <c r="K524" s="7">
        <f t="shared" si="25"/>
        <v>174170</v>
      </c>
      <c r="L524" s="8">
        <f t="shared" si="26"/>
        <v>8855</v>
      </c>
    </row>
    <row r="525" spans="1:12" x14ac:dyDescent="0.3">
      <c r="A525" s="8" t="s">
        <v>557</v>
      </c>
      <c r="B525" s="9">
        <v>45450</v>
      </c>
      <c r="C525" s="8" t="s">
        <v>23</v>
      </c>
      <c r="D525" s="8" t="s">
        <v>17</v>
      </c>
      <c r="E525" s="8" t="s">
        <v>14</v>
      </c>
      <c r="F525" s="8" t="s">
        <v>20</v>
      </c>
      <c r="G525" s="7">
        <v>8</v>
      </c>
      <c r="H525" s="7">
        <v>24874</v>
      </c>
      <c r="I525" s="7">
        <v>34652</v>
      </c>
      <c r="J525" s="7">
        <f t="shared" si="24"/>
        <v>198992</v>
      </c>
      <c r="K525" s="7">
        <f t="shared" si="25"/>
        <v>277216</v>
      </c>
      <c r="L525" s="8">
        <f t="shared" si="26"/>
        <v>78224</v>
      </c>
    </row>
    <row r="526" spans="1:12" x14ac:dyDescent="0.3">
      <c r="A526" s="8" t="s">
        <v>558</v>
      </c>
      <c r="B526" s="9">
        <v>45451</v>
      </c>
      <c r="C526" s="8" t="s">
        <v>12</v>
      </c>
      <c r="D526" s="8" t="s">
        <v>24</v>
      </c>
      <c r="E526" s="8" t="s">
        <v>14</v>
      </c>
      <c r="F526" s="8" t="s">
        <v>22</v>
      </c>
      <c r="G526" s="7">
        <v>5</v>
      </c>
      <c r="H526" s="7">
        <v>38985</v>
      </c>
      <c r="I526" s="7">
        <v>46351</v>
      </c>
      <c r="J526" s="7">
        <f t="shared" si="24"/>
        <v>194925</v>
      </c>
      <c r="K526" s="7">
        <f t="shared" si="25"/>
        <v>231755</v>
      </c>
      <c r="L526" s="8">
        <f t="shared" si="26"/>
        <v>36830</v>
      </c>
    </row>
    <row r="527" spans="1:12" x14ac:dyDescent="0.3">
      <c r="A527" s="8" t="s">
        <v>559</v>
      </c>
      <c r="B527" s="9">
        <v>45452</v>
      </c>
      <c r="C527" s="8" t="s">
        <v>26</v>
      </c>
      <c r="D527" s="8" t="s">
        <v>13</v>
      </c>
      <c r="E527" s="8" t="s">
        <v>14</v>
      </c>
      <c r="F527" s="8" t="s">
        <v>22</v>
      </c>
      <c r="G527" s="7">
        <v>3</v>
      </c>
      <c r="H527" s="7">
        <v>11093</v>
      </c>
      <c r="I527" s="7">
        <v>19996</v>
      </c>
      <c r="J527" s="7">
        <f t="shared" si="24"/>
        <v>33279</v>
      </c>
      <c r="K527" s="7">
        <f t="shared" si="25"/>
        <v>59988</v>
      </c>
      <c r="L527" s="8">
        <f t="shared" si="26"/>
        <v>26709</v>
      </c>
    </row>
    <row r="528" spans="1:12" x14ac:dyDescent="0.3">
      <c r="A528" s="8" t="s">
        <v>560</v>
      </c>
      <c r="B528" s="9">
        <v>45453</v>
      </c>
      <c r="C528" s="8" t="s">
        <v>26</v>
      </c>
      <c r="D528" s="8" t="s">
        <v>13</v>
      </c>
      <c r="E528" s="8" t="s">
        <v>14</v>
      </c>
      <c r="F528" s="8" t="s">
        <v>22</v>
      </c>
      <c r="G528" s="7">
        <v>4</v>
      </c>
      <c r="H528" s="7">
        <v>10479</v>
      </c>
      <c r="I528" s="7">
        <v>14923</v>
      </c>
      <c r="J528" s="7">
        <f t="shared" si="24"/>
        <v>41916</v>
      </c>
      <c r="K528" s="7">
        <f t="shared" si="25"/>
        <v>59692</v>
      </c>
      <c r="L528" s="8">
        <f t="shared" si="26"/>
        <v>17776</v>
      </c>
    </row>
    <row r="529" spans="1:12" x14ac:dyDescent="0.3">
      <c r="A529" s="8" t="s">
        <v>561</v>
      </c>
      <c r="B529" s="9">
        <v>45454</v>
      </c>
      <c r="C529" s="8" t="s">
        <v>26</v>
      </c>
      <c r="D529" s="8" t="s">
        <v>17</v>
      </c>
      <c r="E529" s="8" t="s">
        <v>18</v>
      </c>
      <c r="F529" s="8" t="s">
        <v>25</v>
      </c>
      <c r="G529" s="7">
        <v>5</v>
      </c>
      <c r="H529" s="7">
        <v>28226</v>
      </c>
      <c r="I529" s="7">
        <v>32321</v>
      </c>
      <c r="J529" s="7">
        <f t="shared" si="24"/>
        <v>141130</v>
      </c>
      <c r="K529" s="7">
        <f t="shared" si="25"/>
        <v>161605</v>
      </c>
      <c r="L529" s="8">
        <f t="shared" si="26"/>
        <v>20475</v>
      </c>
    </row>
    <row r="530" spans="1:12" x14ac:dyDescent="0.3">
      <c r="A530" s="8" t="s">
        <v>562</v>
      </c>
      <c r="B530" s="9">
        <v>45455</v>
      </c>
      <c r="C530" s="8" t="s">
        <v>16</v>
      </c>
      <c r="D530" s="8" t="s">
        <v>21</v>
      </c>
      <c r="E530" s="8" t="s">
        <v>14</v>
      </c>
      <c r="F530" s="8" t="s">
        <v>20</v>
      </c>
      <c r="G530" s="7">
        <v>1</v>
      </c>
      <c r="H530" s="7">
        <v>24323</v>
      </c>
      <c r="I530" s="7">
        <v>25653</v>
      </c>
      <c r="J530" s="7">
        <f t="shared" si="24"/>
        <v>24323</v>
      </c>
      <c r="K530" s="7">
        <f t="shared" si="25"/>
        <v>25653</v>
      </c>
      <c r="L530" s="8">
        <f t="shared" si="26"/>
        <v>1330</v>
      </c>
    </row>
    <row r="531" spans="1:12" x14ac:dyDescent="0.3">
      <c r="A531" s="8" t="s">
        <v>563</v>
      </c>
      <c r="B531" s="9">
        <v>45456</v>
      </c>
      <c r="C531" s="8" t="s">
        <v>16</v>
      </c>
      <c r="D531" s="8" t="s">
        <v>21</v>
      </c>
      <c r="E531" s="8" t="s">
        <v>18</v>
      </c>
      <c r="F531" s="8" t="s">
        <v>19</v>
      </c>
      <c r="G531" s="7">
        <v>8</v>
      </c>
      <c r="H531" s="7">
        <v>21117</v>
      </c>
      <c r="I531" s="7">
        <v>23532</v>
      </c>
      <c r="J531" s="7">
        <f t="shared" si="24"/>
        <v>168936</v>
      </c>
      <c r="K531" s="7">
        <f t="shared" si="25"/>
        <v>188256</v>
      </c>
      <c r="L531" s="8">
        <f t="shared" si="26"/>
        <v>19320</v>
      </c>
    </row>
    <row r="532" spans="1:12" x14ac:dyDescent="0.3">
      <c r="A532" s="8" t="s">
        <v>564</v>
      </c>
      <c r="B532" s="9">
        <v>45457</v>
      </c>
      <c r="C532" s="8" t="s">
        <v>16</v>
      </c>
      <c r="D532" s="8" t="s">
        <v>13</v>
      </c>
      <c r="E532" s="8" t="s">
        <v>14</v>
      </c>
      <c r="F532" s="8" t="s">
        <v>22</v>
      </c>
      <c r="G532" s="7">
        <v>7</v>
      </c>
      <c r="H532" s="7">
        <v>30286</v>
      </c>
      <c r="I532" s="7">
        <v>39023</v>
      </c>
      <c r="J532" s="7">
        <f t="shared" si="24"/>
        <v>212002</v>
      </c>
      <c r="K532" s="7">
        <f t="shared" si="25"/>
        <v>273161</v>
      </c>
      <c r="L532" s="8">
        <f t="shared" si="26"/>
        <v>61159</v>
      </c>
    </row>
    <row r="533" spans="1:12" x14ac:dyDescent="0.3">
      <c r="A533" s="8" t="s">
        <v>565</v>
      </c>
      <c r="B533" s="9">
        <v>45458</v>
      </c>
      <c r="C533" s="8" t="s">
        <v>12</v>
      </c>
      <c r="D533" s="8" t="s">
        <v>24</v>
      </c>
      <c r="E533" s="8" t="s">
        <v>14</v>
      </c>
      <c r="F533" s="8" t="s">
        <v>22</v>
      </c>
      <c r="G533" s="7">
        <v>7</v>
      </c>
      <c r="H533" s="7">
        <v>4617</v>
      </c>
      <c r="I533" s="7">
        <v>5987</v>
      </c>
      <c r="J533" s="7">
        <f t="shared" si="24"/>
        <v>32319</v>
      </c>
      <c r="K533" s="7">
        <f t="shared" si="25"/>
        <v>41909</v>
      </c>
      <c r="L533" s="8">
        <f t="shared" si="26"/>
        <v>9590</v>
      </c>
    </row>
    <row r="534" spans="1:12" x14ac:dyDescent="0.3">
      <c r="A534" s="8" t="s">
        <v>566</v>
      </c>
      <c r="B534" s="9">
        <v>45459</v>
      </c>
      <c r="C534" s="8" t="s">
        <v>16</v>
      </c>
      <c r="D534" s="8" t="s">
        <v>27</v>
      </c>
      <c r="E534" s="8" t="s">
        <v>14</v>
      </c>
      <c r="F534" s="8" t="s">
        <v>20</v>
      </c>
      <c r="G534" s="7">
        <v>9</v>
      </c>
      <c r="H534" s="7">
        <v>35378</v>
      </c>
      <c r="I534" s="7">
        <v>44624</v>
      </c>
      <c r="J534" s="7">
        <f t="shared" si="24"/>
        <v>318402</v>
      </c>
      <c r="K534" s="7">
        <f t="shared" si="25"/>
        <v>401616</v>
      </c>
      <c r="L534" s="8">
        <f t="shared" si="26"/>
        <v>83214</v>
      </c>
    </row>
    <row r="535" spans="1:12" x14ac:dyDescent="0.3">
      <c r="A535" s="8" t="s">
        <v>567</v>
      </c>
      <c r="B535" s="9">
        <v>45460</v>
      </c>
      <c r="C535" s="8" t="s">
        <v>26</v>
      </c>
      <c r="D535" s="8" t="s">
        <v>29</v>
      </c>
      <c r="E535" s="8" t="s">
        <v>18</v>
      </c>
      <c r="F535" s="8" t="s">
        <v>19</v>
      </c>
      <c r="G535" s="7">
        <v>8</v>
      </c>
      <c r="H535" s="7">
        <v>15904</v>
      </c>
      <c r="I535" s="7">
        <v>23786</v>
      </c>
      <c r="J535" s="7">
        <f t="shared" si="24"/>
        <v>127232</v>
      </c>
      <c r="K535" s="7">
        <f t="shared" si="25"/>
        <v>190288</v>
      </c>
      <c r="L535" s="8">
        <f t="shared" si="26"/>
        <v>63056</v>
      </c>
    </row>
    <row r="536" spans="1:12" x14ac:dyDescent="0.3">
      <c r="A536" s="8" t="s">
        <v>568</v>
      </c>
      <c r="B536" s="9">
        <v>45461</v>
      </c>
      <c r="C536" s="8" t="s">
        <v>23</v>
      </c>
      <c r="D536" s="8" t="s">
        <v>17</v>
      </c>
      <c r="E536" s="8" t="s">
        <v>14</v>
      </c>
      <c r="F536" s="8" t="s">
        <v>22</v>
      </c>
      <c r="G536" s="7">
        <v>6</v>
      </c>
      <c r="H536" s="7">
        <v>36821</v>
      </c>
      <c r="I536" s="7">
        <v>39737</v>
      </c>
      <c r="J536" s="7">
        <f t="shared" si="24"/>
        <v>220926</v>
      </c>
      <c r="K536" s="7">
        <f t="shared" si="25"/>
        <v>238422</v>
      </c>
      <c r="L536" s="8">
        <f t="shared" si="26"/>
        <v>17496</v>
      </c>
    </row>
    <row r="537" spans="1:12" x14ac:dyDescent="0.3">
      <c r="A537" s="8" t="s">
        <v>569</v>
      </c>
      <c r="B537" s="9">
        <v>45462</v>
      </c>
      <c r="C537" s="8" t="s">
        <v>26</v>
      </c>
      <c r="D537" s="8" t="s">
        <v>24</v>
      </c>
      <c r="E537" s="8" t="s">
        <v>18</v>
      </c>
      <c r="F537" s="8" t="s">
        <v>28</v>
      </c>
      <c r="G537" s="7">
        <v>3</v>
      </c>
      <c r="H537" s="7">
        <v>15097</v>
      </c>
      <c r="I537" s="7">
        <v>20532</v>
      </c>
      <c r="J537" s="7">
        <f t="shared" si="24"/>
        <v>45291</v>
      </c>
      <c r="K537" s="7">
        <f t="shared" si="25"/>
        <v>61596</v>
      </c>
      <c r="L537" s="8">
        <f t="shared" si="26"/>
        <v>16305</v>
      </c>
    </row>
    <row r="538" spans="1:12" x14ac:dyDescent="0.3">
      <c r="A538" s="8" t="s">
        <v>570</v>
      </c>
      <c r="B538" s="9">
        <v>45463</v>
      </c>
      <c r="C538" s="8" t="s">
        <v>16</v>
      </c>
      <c r="D538" s="8" t="s">
        <v>13</v>
      </c>
      <c r="E538" s="8" t="s">
        <v>18</v>
      </c>
      <c r="F538" s="8" t="s">
        <v>28</v>
      </c>
      <c r="G538" s="7">
        <v>2</v>
      </c>
      <c r="H538" s="7">
        <v>28470</v>
      </c>
      <c r="I538" s="7">
        <v>37949</v>
      </c>
      <c r="J538" s="7">
        <f t="shared" si="24"/>
        <v>56940</v>
      </c>
      <c r="K538" s="7">
        <f t="shared" si="25"/>
        <v>75898</v>
      </c>
      <c r="L538" s="8">
        <f t="shared" si="26"/>
        <v>18958</v>
      </c>
    </row>
    <row r="539" spans="1:12" x14ac:dyDescent="0.3">
      <c r="A539" s="8" t="s">
        <v>571</v>
      </c>
      <c r="B539" s="9">
        <v>45464</v>
      </c>
      <c r="C539" s="8" t="s">
        <v>16</v>
      </c>
      <c r="D539" s="8" t="s">
        <v>17</v>
      </c>
      <c r="E539" s="8" t="s">
        <v>14</v>
      </c>
      <c r="F539" s="8" t="s">
        <v>15</v>
      </c>
      <c r="G539" s="7">
        <v>8</v>
      </c>
      <c r="H539" s="7">
        <v>21802</v>
      </c>
      <c r="I539" s="7">
        <v>30637</v>
      </c>
      <c r="J539" s="7">
        <f t="shared" si="24"/>
        <v>174416</v>
      </c>
      <c r="K539" s="7">
        <f t="shared" si="25"/>
        <v>245096</v>
      </c>
      <c r="L539" s="8">
        <f t="shared" si="26"/>
        <v>70680</v>
      </c>
    </row>
    <row r="540" spans="1:12" x14ac:dyDescent="0.3">
      <c r="A540" s="8" t="s">
        <v>572</v>
      </c>
      <c r="B540" s="9">
        <v>45465</v>
      </c>
      <c r="C540" s="8" t="s">
        <v>12</v>
      </c>
      <c r="D540" s="8" t="s">
        <v>21</v>
      </c>
      <c r="E540" s="8" t="s">
        <v>14</v>
      </c>
      <c r="F540" s="8" t="s">
        <v>15</v>
      </c>
      <c r="G540" s="7">
        <v>7</v>
      </c>
      <c r="H540" s="7">
        <v>35142</v>
      </c>
      <c r="I540" s="7">
        <v>36525</v>
      </c>
      <c r="J540" s="7">
        <f t="shared" si="24"/>
        <v>245994</v>
      </c>
      <c r="K540" s="7">
        <f t="shared" si="25"/>
        <v>255675</v>
      </c>
      <c r="L540" s="8">
        <f t="shared" si="26"/>
        <v>9681</v>
      </c>
    </row>
    <row r="541" spans="1:12" x14ac:dyDescent="0.3">
      <c r="A541" s="8" t="s">
        <v>573</v>
      </c>
      <c r="B541" s="9">
        <v>45466</v>
      </c>
      <c r="C541" s="8" t="s">
        <v>12</v>
      </c>
      <c r="D541" s="8" t="s">
        <v>21</v>
      </c>
      <c r="E541" s="8" t="s">
        <v>14</v>
      </c>
      <c r="F541" s="8" t="s">
        <v>22</v>
      </c>
      <c r="G541" s="7">
        <v>10</v>
      </c>
      <c r="H541" s="7">
        <v>25458</v>
      </c>
      <c r="I541" s="7">
        <v>26741</v>
      </c>
      <c r="J541" s="7">
        <f t="shared" si="24"/>
        <v>254580</v>
      </c>
      <c r="K541" s="7">
        <f t="shared" si="25"/>
        <v>267410</v>
      </c>
      <c r="L541" s="8">
        <f t="shared" si="26"/>
        <v>12830</v>
      </c>
    </row>
    <row r="542" spans="1:12" x14ac:dyDescent="0.3">
      <c r="A542" s="8" t="s">
        <v>574</v>
      </c>
      <c r="B542" s="9">
        <v>45467</v>
      </c>
      <c r="C542" s="8" t="s">
        <v>16</v>
      </c>
      <c r="D542" s="8" t="s">
        <v>24</v>
      </c>
      <c r="E542" s="8" t="s">
        <v>18</v>
      </c>
      <c r="F542" s="8" t="s">
        <v>28</v>
      </c>
      <c r="G542" s="7">
        <v>1</v>
      </c>
      <c r="H542" s="7">
        <v>34051</v>
      </c>
      <c r="I542" s="7">
        <v>34743</v>
      </c>
      <c r="J542" s="7">
        <f t="shared" si="24"/>
        <v>34051</v>
      </c>
      <c r="K542" s="7">
        <f t="shared" si="25"/>
        <v>34743</v>
      </c>
      <c r="L542" s="8">
        <f t="shared" si="26"/>
        <v>692</v>
      </c>
    </row>
    <row r="543" spans="1:12" x14ac:dyDescent="0.3">
      <c r="A543" s="8" t="s">
        <v>575</v>
      </c>
      <c r="B543" s="9">
        <v>45468</v>
      </c>
      <c r="C543" s="8" t="s">
        <v>16</v>
      </c>
      <c r="D543" s="8" t="s">
        <v>13</v>
      </c>
      <c r="E543" s="8" t="s">
        <v>18</v>
      </c>
      <c r="F543" s="8" t="s">
        <v>28</v>
      </c>
      <c r="G543" s="7">
        <v>1</v>
      </c>
      <c r="H543" s="7">
        <v>11366</v>
      </c>
      <c r="I543" s="7">
        <v>13407</v>
      </c>
      <c r="J543" s="7">
        <f t="shared" si="24"/>
        <v>11366</v>
      </c>
      <c r="K543" s="7">
        <f t="shared" si="25"/>
        <v>13407</v>
      </c>
      <c r="L543" s="8">
        <f t="shared" si="26"/>
        <v>2041</v>
      </c>
    </row>
    <row r="544" spans="1:12" x14ac:dyDescent="0.3">
      <c r="A544" s="8" t="s">
        <v>576</v>
      </c>
      <c r="B544" s="9">
        <v>45469</v>
      </c>
      <c r="C544" s="8" t="s">
        <v>12</v>
      </c>
      <c r="D544" s="8" t="s">
        <v>21</v>
      </c>
      <c r="E544" s="8" t="s">
        <v>14</v>
      </c>
      <c r="F544" s="8" t="s">
        <v>20</v>
      </c>
      <c r="G544" s="7">
        <v>7</v>
      </c>
      <c r="H544" s="7">
        <v>13921</v>
      </c>
      <c r="I544" s="7">
        <v>14739</v>
      </c>
      <c r="J544" s="7">
        <f t="shared" si="24"/>
        <v>97447</v>
      </c>
      <c r="K544" s="7">
        <f t="shared" si="25"/>
        <v>103173</v>
      </c>
      <c r="L544" s="8">
        <f t="shared" si="26"/>
        <v>5726</v>
      </c>
    </row>
    <row r="545" spans="1:12" x14ac:dyDescent="0.3">
      <c r="A545" s="8" t="s">
        <v>577</v>
      </c>
      <c r="B545" s="9">
        <v>45470</v>
      </c>
      <c r="C545" s="8" t="s">
        <v>16</v>
      </c>
      <c r="D545" s="8" t="s">
        <v>27</v>
      </c>
      <c r="E545" s="8" t="s">
        <v>18</v>
      </c>
      <c r="F545" s="8" t="s">
        <v>25</v>
      </c>
      <c r="G545" s="7">
        <v>10</v>
      </c>
      <c r="H545" s="7">
        <v>9265</v>
      </c>
      <c r="I545" s="7">
        <v>16340</v>
      </c>
      <c r="J545" s="7">
        <f t="shared" si="24"/>
        <v>92650</v>
      </c>
      <c r="K545" s="7">
        <f t="shared" si="25"/>
        <v>163400</v>
      </c>
      <c r="L545" s="8">
        <f t="shared" si="26"/>
        <v>70750</v>
      </c>
    </row>
    <row r="546" spans="1:12" x14ac:dyDescent="0.3">
      <c r="A546" s="8" t="s">
        <v>578</v>
      </c>
      <c r="B546" s="9">
        <v>45471</v>
      </c>
      <c r="C546" s="8" t="s">
        <v>12</v>
      </c>
      <c r="D546" s="8" t="s">
        <v>21</v>
      </c>
      <c r="E546" s="8" t="s">
        <v>14</v>
      </c>
      <c r="F546" s="8" t="s">
        <v>15</v>
      </c>
      <c r="G546" s="7">
        <v>2</v>
      </c>
      <c r="H546" s="7">
        <v>26990</v>
      </c>
      <c r="I546" s="7">
        <v>33262</v>
      </c>
      <c r="J546" s="7">
        <f t="shared" si="24"/>
        <v>53980</v>
      </c>
      <c r="K546" s="7">
        <f t="shared" si="25"/>
        <v>66524</v>
      </c>
      <c r="L546" s="8">
        <f t="shared" si="26"/>
        <v>12544</v>
      </c>
    </row>
    <row r="547" spans="1:12" x14ac:dyDescent="0.3">
      <c r="A547" s="8" t="s">
        <v>579</v>
      </c>
      <c r="B547" s="9">
        <v>45472</v>
      </c>
      <c r="C547" s="8" t="s">
        <v>16</v>
      </c>
      <c r="D547" s="8" t="s">
        <v>29</v>
      </c>
      <c r="E547" s="8" t="s">
        <v>18</v>
      </c>
      <c r="F547" s="8" t="s">
        <v>19</v>
      </c>
      <c r="G547" s="7">
        <v>2</v>
      </c>
      <c r="H547" s="7">
        <v>22904</v>
      </c>
      <c r="I547" s="7">
        <v>31832</v>
      </c>
      <c r="J547" s="7">
        <f t="shared" si="24"/>
        <v>45808</v>
      </c>
      <c r="K547" s="7">
        <f t="shared" si="25"/>
        <v>63664</v>
      </c>
      <c r="L547" s="8">
        <f t="shared" si="26"/>
        <v>17856</v>
      </c>
    </row>
    <row r="548" spans="1:12" x14ac:dyDescent="0.3">
      <c r="A548" s="8" t="s">
        <v>580</v>
      </c>
      <c r="B548" s="9">
        <v>45473</v>
      </c>
      <c r="C548" s="8" t="s">
        <v>23</v>
      </c>
      <c r="D548" s="8" t="s">
        <v>27</v>
      </c>
      <c r="E548" s="8" t="s">
        <v>18</v>
      </c>
      <c r="F548" s="8" t="s">
        <v>28</v>
      </c>
      <c r="G548" s="7">
        <v>2</v>
      </c>
      <c r="H548" s="7">
        <v>10200</v>
      </c>
      <c r="I548" s="7">
        <v>19241</v>
      </c>
      <c r="J548" s="7">
        <f t="shared" si="24"/>
        <v>20400</v>
      </c>
      <c r="K548" s="7">
        <f t="shared" si="25"/>
        <v>38482</v>
      </c>
      <c r="L548" s="8">
        <f t="shared" si="26"/>
        <v>18082</v>
      </c>
    </row>
    <row r="549" spans="1:12" x14ac:dyDescent="0.3">
      <c r="A549" s="8" t="s">
        <v>581</v>
      </c>
      <c r="B549" s="9">
        <v>45474</v>
      </c>
      <c r="C549" s="8" t="s">
        <v>23</v>
      </c>
      <c r="D549" s="8" t="s">
        <v>17</v>
      </c>
      <c r="E549" s="8" t="s">
        <v>18</v>
      </c>
      <c r="F549" s="8" t="s">
        <v>19</v>
      </c>
      <c r="G549" s="7">
        <v>3</v>
      </c>
      <c r="H549" s="7">
        <v>18600</v>
      </c>
      <c r="I549" s="7">
        <v>24967</v>
      </c>
      <c r="J549" s="7">
        <f t="shared" si="24"/>
        <v>55800</v>
      </c>
      <c r="K549" s="7">
        <f t="shared" si="25"/>
        <v>74901</v>
      </c>
      <c r="L549" s="8">
        <f t="shared" si="26"/>
        <v>19101</v>
      </c>
    </row>
    <row r="550" spans="1:12" x14ac:dyDescent="0.3">
      <c r="A550" s="8" t="s">
        <v>582</v>
      </c>
      <c r="B550" s="9">
        <v>45475</v>
      </c>
      <c r="C550" s="8" t="s">
        <v>23</v>
      </c>
      <c r="D550" s="8" t="s">
        <v>29</v>
      </c>
      <c r="E550" s="8" t="s">
        <v>14</v>
      </c>
      <c r="F550" s="8" t="s">
        <v>15</v>
      </c>
      <c r="G550" s="7">
        <v>4</v>
      </c>
      <c r="H550" s="7">
        <v>39975</v>
      </c>
      <c r="I550" s="7">
        <v>43568</v>
      </c>
      <c r="J550" s="7">
        <f t="shared" si="24"/>
        <v>159900</v>
      </c>
      <c r="K550" s="7">
        <f t="shared" si="25"/>
        <v>174272</v>
      </c>
      <c r="L550" s="8">
        <f t="shared" si="26"/>
        <v>14372</v>
      </c>
    </row>
    <row r="551" spans="1:12" x14ac:dyDescent="0.3">
      <c r="A551" s="8" t="s">
        <v>583</v>
      </c>
      <c r="B551" s="9">
        <v>45476</v>
      </c>
      <c r="C551" s="8" t="s">
        <v>12</v>
      </c>
      <c r="D551" s="8" t="s">
        <v>17</v>
      </c>
      <c r="E551" s="8" t="s">
        <v>14</v>
      </c>
      <c r="F551" s="8" t="s">
        <v>22</v>
      </c>
      <c r="G551" s="7">
        <v>3</v>
      </c>
      <c r="H551" s="7">
        <v>17392</v>
      </c>
      <c r="I551" s="7">
        <v>22142</v>
      </c>
      <c r="J551" s="7">
        <f t="shared" si="24"/>
        <v>52176</v>
      </c>
      <c r="K551" s="7">
        <f t="shared" si="25"/>
        <v>66426</v>
      </c>
      <c r="L551" s="8">
        <f t="shared" si="26"/>
        <v>14250</v>
      </c>
    </row>
    <row r="552" spans="1:12" x14ac:dyDescent="0.3">
      <c r="A552" s="8" t="s">
        <v>584</v>
      </c>
      <c r="B552" s="9">
        <v>45477</v>
      </c>
      <c r="C552" s="8" t="s">
        <v>26</v>
      </c>
      <c r="D552" s="8" t="s">
        <v>21</v>
      </c>
      <c r="E552" s="8" t="s">
        <v>14</v>
      </c>
      <c r="F552" s="8" t="s">
        <v>15</v>
      </c>
      <c r="G552" s="7">
        <v>6</v>
      </c>
      <c r="H552" s="7">
        <v>14288</v>
      </c>
      <c r="I552" s="7">
        <v>23843</v>
      </c>
      <c r="J552" s="7">
        <f t="shared" si="24"/>
        <v>85728</v>
      </c>
      <c r="K552" s="7">
        <f t="shared" si="25"/>
        <v>143058</v>
      </c>
      <c r="L552" s="8">
        <f t="shared" si="26"/>
        <v>57330</v>
      </c>
    </row>
    <row r="553" spans="1:12" x14ac:dyDescent="0.3">
      <c r="A553" s="8" t="s">
        <v>585</v>
      </c>
      <c r="B553" s="9">
        <v>45478</v>
      </c>
      <c r="C553" s="8" t="s">
        <v>12</v>
      </c>
      <c r="D553" s="8" t="s">
        <v>21</v>
      </c>
      <c r="E553" s="8" t="s">
        <v>18</v>
      </c>
      <c r="F553" s="8" t="s">
        <v>28</v>
      </c>
      <c r="G553" s="7">
        <v>8</v>
      </c>
      <c r="H553" s="7">
        <v>7081</v>
      </c>
      <c r="I553" s="7">
        <v>12601</v>
      </c>
      <c r="J553" s="7">
        <f t="shared" si="24"/>
        <v>56648</v>
      </c>
      <c r="K553" s="7">
        <f t="shared" si="25"/>
        <v>100808</v>
      </c>
      <c r="L553" s="8">
        <f t="shared" si="26"/>
        <v>44160</v>
      </c>
    </row>
    <row r="554" spans="1:12" x14ac:dyDescent="0.3">
      <c r="A554" s="8" t="s">
        <v>586</v>
      </c>
      <c r="B554" s="9">
        <v>45479</v>
      </c>
      <c r="C554" s="8" t="s">
        <v>26</v>
      </c>
      <c r="D554" s="8" t="s">
        <v>13</v>
      </c>
      <c r="E554" s="8" t="s">
        <v>14</v>
      </c>
      <c r="F554" s="8" t="s">
        <v>22</v>
      </c>
      <c r="G554" s="7">
        <v>2</v>
      </c>
      <c r="H554" s="7">
        <v>11952</v>
      </c>
      <c r="I554" s="7">
        <v>20595</v>
      </c>
      <c r="J554" s="7">
        <f t="shared" si="24"/>
        <v>23904</v>
      </c>
      <c r="K554" s="7">
        <f t="shared" si="25"/>
        <v>41190</v>
      </c>
      <c r="L554" s="8">
        <f t="shared" si="26"/>
        <v>17286</v>
      </c>
    </row>
    <row r="555" spans="1:12" x14ac:dyDescent="0.3">
      <c r="A555" s="8" t="s">
        <v>587</v>
      </c>
      <c r="B555" s="9">
        <v>45480</v>
      </c>
      <c r="C555" s="8" t="s">
        <v>12</v>
      </c>
      <c r="D555" s="8" t="s">
        <v>24</v>
      </c>
      <c r="E555" s="8" t="s">
        <v>14</v>
      </c>
      <c r="F555" s="8" t="s">
        <v>15</v>
      </c>
      <c r="G555" s="7">
        <v>4</v>
      </c>
      <c r="H555" s="7">
        <v>19410</v>
      </c>
      <c r="I555" s="7">
        <v>20626</v>
      </c>
      <c r="J555" s="7">
        <f t="shared" si="24"/>
        <v>77640</v>
      </c>
      <c r="K555" s="7">
        <f t="shared" si="25"/>
        <v>82504</v>
      </c>
      <c r="L555" s="8">
        <f t="shared" si="26"/>
        <v>4864</v>
      </c>
    </row>
    <row r="556" spans="1:12" x14ac:dyDescent="0.3">
      <c r="A556" s="8" t="s">
        <v>588</v>
      </c>
      <c r="B556" s="9">
        <v>45481</v>
      </c>
      <c r="C556" s="8" t="s">
        <v>26</v>
      </c>
      <c r="D556" s="8" t="s">
        <v>27</v>
      </c>
      <c r="E556" s="8" t="s">
        <v>18</v>
      </c>
      <c r="F556" s="8" t="s">
        <v>19</v>
      </c>
      <c r="G556" s="7">
        <v>3</v>
      </c>
      <c r="H556" s="7">
        <v>29187</v>
      </c>
      <c r="I556" s="7">
        <v>32082</v>
      </c>
      <c r="J556" s="7">
        <f t="shared" si="24"/>
        <v>87561</v>
      </c>
      <c r="K556" s="7">
        <f t="shared" si="25"/>
        <v>96246</v>
      </c>
      <c r="L556" s="8">
        <f t="shared" si="26"/>
        <v>8685</v>
      </c>
    </row>
    <row r="557" spans="1:12" x14ac:dyDescent="0.3">
      <c r="A557" s="8" t="s">
        <v>589</v>
      </c>
      <c r="B557" s="9">
        <v>45482</v>
      </c>
      <c r="C557" s="8" t="s">
        <v>12</v>
      </c>
      <c r="D557" s="8" t="s">
        <v>21</v>
      </c>
      <c r="E557" s="8" t="s">
        <v>18</v>
      </c>
      <c r="F557" s="8" t="s">
        <v>19</v>
      </c>
      <c r="G557" s="7">
        <v>10</v>
      </c>
      <c r="H557" s="7">
        <v>19042</v>
      </c>
      <c r="I557" s="7">
        <v>21257</v>
      </c>
      <c r="J557" s="7">
        <f t="shared" si="24"/>
        <v>190420</v>
      </c>
      <c r="K557" s="7">
        <f t="shared" si="25"/>
        <v>212570</v>
      </c>
      <c r="L557" s="8">
        <f t="shared" si="26"/>
        <v>22150</v>
      </c>
    </row>
    <row r="558" spans="1:12" x14ac:dyDescent="0.3">
      <c r="A558" s="8" t="s">
        <v>590</v>
      </c>
      <c r="B558" s="9">
        <v>45483</v>
      </c>
      <c r="C558" s="8" t="s">
        <v>16</v>
      </c>
      <c r="D558" s="8" t="s">
        <v>17</v>
      </c>
      <c r="E558" s="8" t="s">
        <v>14</v>
      </c>
      <c r="F558" s="8" t="s">
        <v>22</v>
      </c>
      <c r="G558" s="7">
        <v>7</v>
      </c>
      <c r="H558" s="7">
        <v>16048</v>
      </c>
      <c r="I558" s="7">
        <v>16326</v>
      </c>
      <c r="J558" s="7">
        <f t="shared" si="24"/>
        <v>112336</v>
      </c>
      <c r="K558" s="7">
        <f t="shared" si="25"/>
        <v>114282</v>
      </c>
      <c r="L558" s="8">
        <f t="shared" si="26"/>
        <v>1946</v>
      </c>
    </row>
    <row r="559" spans="1:12" x14ac:dyDescent="0.3">
      <c r="A559" s="8" t="s">
        <v>591</v>
      </c>
      <c r="B559" s="9">
        <v>45484</v>
      </c>
      <c r="C559" s="8" t="s">
        <v>26</v>
      </c>
      <c r="D559" s="8" t="s">
        <v>13</v>
      </c>
      <c r="E559" s="8" t="s">
        <v>14</v>
      </c>
      <c r="F559" s="8" t="s">
        <v>20</v>
      </c>
      <c r="G559" s="7">
        <v>6</v>
      </c>
      <c r="H559" s="7">
        <v>33812</v>
      </c>
      <c r="I559" s="7">
        <v>43263</v>
      </c>
      <c r="J559" s="7">
        <f t="shared" si="24"/>
        <v>202872</v>
      </c>
      <c r="K559" s="7">
        <f t="shared" si="25"/>
        <v>259578</v>
      </c>
      <c r="L559" s="8">
        <f t="shared" si="26"/>
        <v>56706</v>
      </c>
    </row>
    <row r="560" spans="1:12" x14ac:dyDescent="0.3">
      <c r="A560" s="8" t="s">
        <v>592</v>
      </c>
      <c r="B560" s="9">
        <v>45485</v>
      </c>
      <c r="C560" s="8" t="s">
        <v>23</v>
      </c>
      <c r="D560" s="8" t="s">
        <v>27</v>
      </c>
      <c r="E560" s="8" t="s">
        <v>18</v>
      </c>
      <c r="F560" s="8" t="s">
        <v>25</v>
      </c>
      <c r="G560" s="7">
        <v>10</v>
      </c>
      <c r="H560" s="7">
        <v>11329</v>
      </c>
      <c r="I560" s="7">
        <v>11827</v>
      </c>
      <c r="J560" s="7">
        <f t="shared" si="24"/>
        <v>113290</v>
      </c>
      <c r="K560" s="7">
        <f t="shared" si="25"/>
        <v>118270</v>
      </c>
      <c r="L560" s="8">
        <f t="shared" si="26"/>
        <v>4980</v>
      </c>
    </row>
    <row r="561" spans="1:12" x14ac:dyDescent="0.3">
      <c r="A561" s="8" t="s">
        <v>593</v>
      </c>
      <c r="B561" s="9">
        <v>45486</v>
      </c>
      <c r="C561" s="8" t="s">
        <v>12</v>
      </c>
      <c r="D561" s="8" t="s">
        <v>27</v>
      </c>
      <c r="E561" s="8" t="s">
        <v>14</v>
      </c>
      <c r="F561" s="8" t="s">
        <v>15</v>
      </c>
      <c r="G561" s="7">
        <v>9</v>
      </c>
      <c r="H561" s="7">
        <v>14704</v>
      </c>
      <c r="I561" s="7">
        <v>21844</v>
      </c>
      <c r="J561" s="7">
        <f t="shared" si="24"/>
        <v>132336</v>
      </c>
      <c r="K561" s="7">
        <f t="shared" si="25"/>
        <v>196596</v>
      </c>
      <c r="L561" s="8">
        <f t="shared" si="26"/>
        <v>64260</v>
      </c>
    </row>
    <row r="562" spans="1:12" x14ac:dyDescent="0.3">
      <c r="A562" s="8" t="s">
        <v>594</v>
      </c>
      <c r="B562" s="9">
        <v>45487</v>
      </c>
      <c r="C562" s="8" t="s">
        <v>12</v>
      </c>
      <c r="D562" s="8" t="s">
        <v>13</v>
      </c>
      <c r="E562" s="8" t="s">
        <v>18</v>
      </c>
      <c r="F562" s="8" t="s">
        <v>28</v>
      </c>
      <c r="G562" s="7">
        <v>3</v>
      </c>
      <c r="H562" s="7">
        <v>18202</v>
      </c>
      <c r="I562" s="7">
        <v>22196</v>
      </c>
      <c r="J562" s="7">
        <f t="shared" si="24"/>
        <v>54606</v>
      </c>
      <c r="K562" s="7">
        <f t="shared" si="25"/>
        <v>66588</v>
      </c>
      <c r="L562" s="8">
        <f t="shared" si="26"/>
        <v>11982</v>
      </c>
    </row>
    <row r="563" spans="1:12" x14ac:dyDescent="0.3">
      <c r="A563" s="8" t="s">
        <v>595</v>
      </c>
      <c r="B563" s="9">
        <v>45488</v>
      </c>
      <c r="C563" s="8" t="s">
        <v>26</v>
      </c>
      <c r="D563" s="8" t="s">
        <v>17</v>
      </c>
      <c r="E563" s="8" t="s">
        <v>14</v>
      </c>
      <c r="F563" s="8" t="s">
        <v>20</v>
      </c>
      <c r="G563" s="7">
        <v>10</v>
      </c>
      <c r="H563" s="7">
        <v>7238</v>
      </c>
      <c r="I563" s="7">
        <v>9876</v>
      </c>
      <c r="J563" s="7">
        <f t="shared" si="24"/>
        <v>72380</v>
      </c>
      <c r="K563" s="7">
        <f t="shared" si="25"/>
        <v>98760</v>
      </c>
      <c r="L563" s="8">
        <f t="shared" si="26"/>
        <v>26380</v>
      </c>
    </row>
    <row r="564" spans="1:12" x14ac:dyDescent="0.3">
      <c r="A564" s="8" t="s">
        <v>596</v>
      </c>
      <c r="B564" s="9">
        <v>45489</v>
      </c>
      <c r="C564" s="8" t="s">
        <v>12</v>
      </c>
      <c r="D564" s="8" t="s">
        <v>29</v>
      </c>
      <c r="E564" s="8" t="s">
        <v>18</v>
      </c>
      <c r="F564" s="8" t="s">
        <v>25</v>
      </c>
      <c r="G564" s="7">
        <v>4</v>
      </c>
      <c r="H564" s="7">
        <v>27876</v>
      </c>
      <c r="I564" s="7">
        <v>34141</v>
      </c>
      <c r="J564" s="7">
        <f t="shared" si="24"/>
        <v>111504</v>
      </c>
      <c r="K564" s="7">
        <f t="shared" si="25"/>
        <v>136564</v>
      </c>
      <c r="L564" s="8">
        <f t="shared" si="26"/>
        <v>25060</v>
      </c>
    </row>
    <row r="565" spans="1:12" x14ac:dyDescent="0.3">
      <c r="A565" s="8" t="s">
        <v>597</v>
      </c>
      <c r="B565" s="9">
        <v>45490</v>
      </c>
      <c r="C565" s="8" t="s">
        <v>16</v>
      </c>
      <c r="D565" s="8" t="s">
        <v>27</v>
      </c>
      <c r="E565" s="8" t="s">
        <v>18</v>
      </c>
      <c r="F565" s="8" t="s">
        <v>28</v>
      </c>
      <c r="G565" s="7">
        <v>3</v>
      </c>
      <c r="H565" s="7">
        <v>36655</v>
      </c>
      <c r="I565" s="7">
        <v>37015</v>
      </c>
      <c r="J565" s="7">
        <f t="shared" si="24"/>
        <v>109965</v>
      </c>
      <c r="K565" s="7">
        <f t="shared" si="25"/>
        <v>111045</v>
      </c>
      <c r="L565" s="8">
        <f t="shared" si="26"/>
        <v>1080</v>
      </c>
    </row>
    <row r="566" spans="1:12" x14ac:dyDescent="0.3">
      <c r="A566" s="8" t="s">
        <v>598</v>
      </c>
      <c r="B566" s="9">
        <v>45491</v>
      </c>
      <c r="C566" s="8" t="s">
        <v>12</v>
      </c>
      <c r="D566" s="8" t="s">
        <v>24</v>
      </c>
      <c r="E566" s="8" t="s">
        <v>18</v>
      </c>
      <c r="F566" s="8" t="s">
        <v>25</v>
      </c>
      <c r="G566" s="7">
        <v>5</v>
      </c>
      <c r="H566" s="7">
        <v>21165</v>
      </c>
      <c r="I566" s="7">
        <v>22995</v>
      </c>
      <c r="J566" s="7">
        <f t="shared" si="24"/>
        <v>105825</v>
      </c>
      <c r="K566" s="7">
        <f t="shared" si="25"/>
        <v>114975</v>
      </c>
      <c r="L566" s="8">
        <f t="shared" si="26"/>
        <v>9150</v>
      </c>
    </row>
    <row r="567" spans="1:12" x14ac:dyDescent="0.3">
      <c r="A567" s="8" t="s">
        <v>599</v>
      </c>
      <c r="B567" s="9">
        <v>45492</v>
      </c>
      <c r="C567" s="8" t="s">
        <v>16</v>
      </c>
      <c r="D567" s="8" t="s">
        <v>27</v>
      </c>
      <c r="E567" s="8" t="s">
        <v>18</v>
      </c>
      <c r="F567" s="8" t="s">
        <v>19</v>
      </c>
      <c r="G567" s="7">
        <v>7</v>
      </c>
      <c r="H567" s="7">
        <v>7948</v>
      </c>
      <c r="I567" s="7">
        <v>11686</v>
      </c>
      <c r="J567" s="7">
        <f t="shared" si="24"/>
        <v>55636</v>
      </c>
      <c r="K567" s="7">
        <f t="shared" si="25"/>
        <v>81802</v>
      </c>
      <c r="L567" s="8">
        <f t="shared" si="26"/>
        <v>26166</v>
      </c>
    </row>
    <row r="568" spans="1:12" x14ac:dyDescent="0.3">
      <c r="A568" s="8" t="s">
        <v>600</v>
      </c>
      <c r="B568" s="9">
        <v>45493</v>
      </c>
      <c r="C568" s="8" t="s">
        <v>12</v>
      </c>
      <c r="D568" s="8" t="s">
        <v>17</v>
      </c>
      <c r="E568" s="8" t="s">
        <v>14</v>
      </c>
      <c r="F568" s="8" t="s">
        <v>22</v>
      </c>
      <c r="G568" s="7">
        <v>5</v>
      </c>
      <c r="H568" s="7">
        <v>12571</v>
      </c>
      <c r="I568" s="7">
        <v>20774</v>
      </c>
      <c r="J568" s="7">
        <f t="shared" si="24"/>
        <v>62855</v>
      </c>
      <c r="K568" s="7">
        <f t="shared" si="25"/>
        <v>103870</v>
      </c>
      <c r="L568" s="8">
        <f t="shared" si="26"/>
        <v>41015</v>
      </c>
    </row>
    <row r="569" spans="1:12" x14ac:dyDescent="0.3">
      <c r="A569" s="8" t="s">
        <v>601</v>
      </c>
      <c r="B569" s="9">
        <v>45494</v>
      </c>
      <c r="C569" s="8" t="s">
        <v>23</v>
      </c>
      <c r="D569" s="8" t="s">
        <v>27</v>
      </c>
      <c r="E569" s="8" t="s">
        <v>18</v>
      </c>
      <c r="F569" s="8" t="s">
        <v>28</v>
      </c>
      <c r="G569" s="7">
        <v>7</v>
      </c>
      <c r="H569" s="7">
        <v>28576</v>
      </c>
      <c r="I569" s="7">
        <v>33522</v>
      </c>
      <c r="J569" s="7">
        <f t="shared" si="24"/>
        <v>200032</v>
      </c>
      <c r="K569" s="7">
        <f t="shared" si="25"/>
        <v>234654</v>
      </c>
      <c r="L569" s="8">
        <f t="shared" si="26"/>
        <v>34622</v>
      </c>
    </row>
    <row r="570" spans="1:12" x14ac:dyDescent="0.3">
      <c r="A570" s="8" t="s">
        <v>602</v>
      </c>
      <c r="B570" s="9">
        <v>45495</v>
      </c>
      <c r="C570" s="8" t="s">
        <v>26</v>
      </c>
      <c r="D570" s="8" t="s">
        <v>21</v>
      </c>
      <c r="E570" s="8" t="s">
        <v>14</v>
      </c>
      <c r="F570" s="8" t="s">
        <v>15</v>
      </c>
      <c r="G570" s="7">
        <v>3</v>
      </c>
      <c r="H570" s="7">
        <v>37438</v>
      </c>
      <c r="I570" s="7">
        <v>40026</v>
      </c>
      <c r="J570" s="7">
        <f t="shared" si="24"/>
        <v>112314</v>
      </c>
      <c r="K570" s="7">
        <f t="shared" si="25"/>
        <v>120078</v>
      </c>
      <c r="L570" s="8">
        <f t="shared" si="26"/>
        <v>7764</v>
      </c>
    </row>
    <row r="571" spans="1:12" x14ac:dyDescent="0.3">
      <c r="A571" s="8" t="s">
        <v>603</v>
      </c>
      <c r="B571" s="9">
        <v>45496</v>
      </c>
      <c r="C571" s="8" t="s">
        <v>12</v>
      </c>
      <c r="D571" s="8" t="s">
        <v>21</v>
      </c>
      <c r="E571" s="8" t="s">
        <v>18</v>
      </c>
      <c r="F571" s="8" t="s">
        <v>28</v>
      </c>
      <c r="G571" s="7">
        <v>5</v>
      </c>
      <c r="H571" s="7">
        <v>26503</v>
      </c>
      <c r="I571" s="7">
        <v>35002</v>
      </c>
      <c r="J571" s="7">
        <f t="shared" si="24"/>
        <v>132515</v>
      </c>
      <c r="K571" s="7">
        <f t="shared" si="25"/>
        <v>175010</v>
      </c>
      <c r="L571" s="8">
        <f t="shared" si="26"/>
        <v>42495</v>
      </c>
    </row>
    <row r="572" spans="1:12" x14ac:dyDescent="0.3">
      <c r="A572" s="8" t="s">
        <v>604</v>
      </c>
      <c r="B572" s="9">
        <v>45497</v>
      </c>
      <c r="C572" s="8" t="s">
        <v>26</v>
      </c>
      <c r="D572" s="8" t="s">
        <v>27</v>
      </c>
      <c r="E572" s="8" t="s">
        <v>14</v>
      </c>
      <c r="F572" s="8" t="s">
        <v>20</v>
      </c>
      <c r="G572" s="7">
        <v>5</v>
      </c>
      <c r="H572" s="7">
        <v>29345</v>
      </c>
      <c r="I572" s="7">
        <v>37658</v>
      </c>
      <c r="J572" s="7">
        <f t="shared" si="24"/>
        <v>146725</v>
      </c>
      <c r="K572" s="7">
        <f t="shared" si="25"/>
        <v>188290</v>
      </c>
      <c r="L572" s="8">
        <f t="shared" si="26"/>
        <v>41565</v>
      </c>
    </row>
    <row r="573" spans="1:12" x14ac:dyDescent="0.3">
      <c r="A573" s="8" t="s">
        <v>605</v>
      </c>
      <c r="B573" s="9">
        <v>45498</v>
      </c>
      <c r="C573" s="8" t="s">
        <v>16</v>
      </c>
      <c r="D573" s="8" t="s">
        <v>29</v>
      </c>
      <c r="E573" s="8" t="s">
        <v>18</v>
      </c>
      <c r="F573" s="8" t="s">
        <v>19</v>
      </c>
      <c r="G573" s="7">
        <v>8</v>
      </c>
      <c r="H573" s="7">
        <v>35019</v>
      </c>
      <c r="I573" s="7">
        <v>39344</v>
      </c>
      <c r="J573" s="7">
        <f t="shared" si="24"/>
        <v>280152</v>
      </c>
      <c r="K573" s="7">
        <f t="shared" si="25"/>
        <v>314752</v>
      </c>
      <c r="L573" s="8">
        <f t="shared" si="26"/>
        <v>34600</v>
      </c>
    </row>
    <row r="574" spans="1:12" x14ac:dyDescent="0.3">
      <c r="A574" s="8" t="s">
        <v>606</v>
      </c>
      <c r="B574" s="9">
        <v>45499</v>
      </c>
      <c r="C574" s="8" t="s">
        <v>16</v>
      </c>
      <c r="D574" s="8" t="s">
        <v>17</v>
      </c>
      <c r="E574" s="8" t="s">
        <v>14</v>
      </c>
      <c r="F574" s="8" t="s">
        <v>15</v>
      </c>
      <c r="G574" s="7">
        <v>8</v>
      </c>
      <c r="H574" s="7">
        <v>2405</v>
      </c>
      <c r="I574" s="7">
        <v>7433</v>
      </c>
      <c r="J574" s="7">
        <f t="shared" si="24"/>
        <v>19240</v>
      </c>
      <c r="K574" s="7">
        <f t="shared" si="25"/>
        <v>59464</v>
      </c>
      <c r="L574" s="8">
        <f t="shared" si="26"/>
        <v>40224</v>
      </c>
    </row>
    <row r="575" spans="1:12" x14ac:dyDescent="0.3">
      <c r="A575" s="8" t="s">
        <v>607</v>
      </c>
      <c r="B575" s="9">
        <v>45500</v>
      </c>
      <c r="C575" s="8" t="s">
        <v>26</v>
      </c>
      <c r="D575" s="8" t="s">
        <v>24</v>
      </c>
      <c r="E575" s="8" t="s">
        <v>18</v>
      </c>
      <c r="F575" s="8" t="s">
        <v>19</v>
      </c>
      <c r="G575" s="7">
        <v>3</v>
      </c>
      <c r="H575" s="7">
        <v>23931</v>
      </c>
      <c r="I575" s="7">
        <v>25959</v>
      </c>
      <c r="J575" s="7">
        <f t="shared" si="24"/>
        <v>71793</v>
      </c>
      <c r="K575" s="7">
        <f t="shared" si="25"/>
        <v>77877</v>
      </c>
      <c r="L575" s="8">
        <f t="shared" si="26"/>
        <v>6084</v>
      </c>
    </row>
    <row r="576" spans="1:12" x14ac:dyDescent="0.3">
      <c r="A576" s="8" t="s">
        <v>608</v>
      </c>
      <c r="B576" s="9">
        <v>45501</v>
      </c>
      <c r="C576" s="8" t="s">
        <v>23</v>
      </c>
      <c r="D576" s="8" t="s">
        <v>17</v>
      </c>
      <c r="E576" s="8" t="s">
        <v>14</v>
      </c>
      <c r="F576" s="8" t="s">
        <v>15</v>
      </c>
      <c r="G576" s="7">
        <v>9</v>
      </c>
      <c r="H576" s="7">
        <v>2427</v>
      </c>
      <c r="I576" s="7">
        <v>2858</v>
      </c>
      <c r="J576" s="7">
        <f t="shared" si="24"/>
        <v>21843</v>
      </c>
      <c r="K576" s="7">
        <f t="shared" si="25"/>
        <v>25722</v>
      </c>
      <c r="L576" s="8">
        <f t="shared" si="26"/>
        <v>3879</v>
      </c>
    </row>
    <row r="577" spans="1:12" x14ac:dyDescent="0.3">
      <c r="A577" s="8" t="s">
        <v>609</v>
      </c>
      <c r="B577" s="9">
        <v>45502</v>
      </c>
      <c r="C577" s="8" t="s">
        <v>16</v>
      </c>
      <c r="D577" s="8" t="s">
        <v>24</v>
      </c>
      <c r="E577" s="8" t="s">
        <v>14</v>
      </c>
      <c r="F577" s="8" t="s">
        <v>20</v>
      </c>
      <c r="G577" s="7">
        <v>7</v>
      </c>
      <c r="H577" s="7">
        <v>11433</v>
      </c>
      <c r="I577" s="7">
        <v>16098</v>
      </c>
      <c r="J577" s="7">
        <f t="shared" si="24"/>
        <v>80031</v>
      </c>
      <c r="K577" s="7">
        <f t="shared" si="25"/>
        <v>112686</v>
      </c>
      <c r="L577" s="8">
        <f t="shared" si="26"/>
        <v>32655</v>
      </c>
    </row>
    <row r="578" spans="1:12" x14ac:dyDescent="0.3">
      <c r="A578" s="8" t="s">
        <v>610</v>
      </c>
      <c r="B578" s="9">
        <v>45503</v>
      </c>
      <c r="C578" s="8" t="s">
        <v>23</v>
      </c>
      <c r="D578" s="8" t="s">
        <v>17</v>
      </c>
      <c r="E578" s="8" t="s">
        <v>14</v>
      </c>
      <c r="F578" s="8" t="s">
        <v>22</v>
      </c>
      <c r="G578" s="7">
        <v>3</v>
      </c>
      <c r="H578" s="7">
        <v>8943</v>
      </c>
      <c r="I578" s="7">
        <v>16412</v>
      </c>
      <c r="J578" s="7">
        <f t="shared" si="24"/>
        <v>26829</v>
      </c>
      <c r="K578" s="7">
        <f t="shared" si="25"/>
        <v>49236</v>
      </c>
      <c r="L578" s="8">
        <f t="shared" si="26"/>
        <v>22407</v>
      </c>
    </row>
    <row r="579" spans="1:12" x14ac:dyDescent="0.3">
      <c r="A579" s="8" t="s">
        <v>611</v>
      </c>
      <c r="B579" s="9">
        <v>45504</v>
      </c>
      <c r="C579" s="8" t="s">
        <v>12</v>
      </c>
      <c r="D579" s="8" t="s">
        <v>29</v>
      </c>
      <c r="E579" s="8" t="s">
        <v>18</v>
      </c>
      <c r="F579" s="8" t="s">
        <v>25</v>
      </c>
      <c r="G579" s="7">
        <v>6</v>
      </c>
      <c r="H579" s="7">
        <v>9032</v>
      </c>
      <c r="I579" s="7">
        <v>10792</v>
      </c>
      <c r="J579" s="7">
        <f t="shared" ref="J579:J642" si="27">G579*H579</f>
        <v>54192</v>
      </c>
      <c r="K579" s="7">
        <f t="shared" ref="K579:K642" si="28">G579*I579</f>
        <v>64752</v>
      </c>
      <c r="L579" s="8">
        <f t="shared" ref="L579:L642" si="29">(I579-H579)*G579</f>
        <v>10560</v>
      </c>
    </row>
    <row r="580" spans="1:12" x14ac:dyDescent="0.3">
      <c r="A580" s="8" t="s">
        <v>612</v>
      </c>
      <c r="B580" s="9">
        <v>45505</v>
      </c>
      <c r="C580" s="8" t="s">
        <v>26</v>
      </c>
      <c r="D580" s="8" t="s">
        <v>29</v>
      </c>
      <c r="E580" s="8" t="s">
        <v>18</v>
      </c>
      <c r="F580" s="8" t="s">
        <v>25</v>
      </c>
      <c r="G580" s="7">
        <v>7</v>
      </c>
      <c r="H580" s="7">
        <v>39346</v>
      </c>
      <c r="I580" s="7">
        <v>46565</v>
      </c>
      <c r="J580" s="7">
        <f t="shared" si="27"/>
        <v>275422</v>
      </c>
      <c r="K580" s="7">
        <f t="shared" si="28"/>
        <v>325955</v>
      </c>
      <c r="L580" s="8">
        <f t="shared" si="29"/>
        <v>50533</v>
      </c>
    </row>
    <row r="581" spans="1:12" x14ac:dyDescent="0.3">
      <c r="A581" s="8" t="s">
        <v>613</v>
      </c>
      <c r="B581" s="9">
        <v>45506</v>
      </c>
      <c r="C581" s="8" t="s">
        <v>23</v>
      </c>
      <c r="D581" s="8" t="s">
        <v>27</v>
      </c>
      <c r="E581" s="8" t="s">
        <v>14</v>
      </c>
      <c r="F581" s="8" t="s">
        <v>15</v>
      </c>
      <c r="G581" s="7">
        <v>4</v>
      </c>
      <c r="H581" s="7">
        <v>39425</v>
      </c>
      <c r="I581" s="7">
        <v>41215</v>
      </c>
      <c r="J581" s="7">
        <f t="shared" si="27"/>
        <v>157700</v>
      </c>
      <c r="K581" s="7">
        <f t="shared" si="28"/>
        <v>164860</v>
      </c>
      <c r="L581" s="8">
        <f t="shared" si="29"/>
        <v>7160</v>
      </c>
    </row>
    <row r="582" spans="1:12" x14ac:dyDescent="0.3">
      <c r="A582" s="8" t="s">
        <v>614</v>
      </c>
      <c r="B582" s="9">
        <v>45507</v>
      </c>
      <c r="C582" s="8" t="s">
        <v>26</v>
      </c>
      <c r="D582" s="8" t="s">
        <v>29</v>
      </c>
      <c r="E582" s="8" t="s">
        <v>14</v>
      </c>
      <c r="F582" s="8" t="s">
        <v>15</v>
      </c>
      <c r="G582" s="7">
        <v>6</v>
      </c>
      <c r="H582" s="7">
        <v>9908</v>
      </c>
      <c r="I582" s="7">
        <v>11450</v>
      </c>
      <c r="J582" s="7">
        <f t="shared" si="27"/>
        <v>59448</v>
      </c>
      <c r="K582" s="7">
        <f t="shared" si="28"/>
        <v>68700</v>
      </c>
      <c r="L582" s="8">
        <f t="shared" si="29"/>
        <v>9252</v>
      </c>
    </row>
    <row r="583" spans="1:12" x14ac:dyDescent="0.3">
      <c r="A583" s="8" t="s">
        <v>615</v>
      </c>
      <c r="B583" s="9">
        <v>45508</v>
      </c>
      <c r="C583" s="8" t="s">
        <v>23</v>
      </c>
      <c r="D583" s="8" t="s">
        <v>17</v>
      </c>
      <c r="E583" s="8" t="s">
        <v>18</v>
      </c>
      <c r="F583" s="8" t="s">
        <v>28</v>
      </c>
      <c r="G583" s="7">
        <v>5</v>
      </c>
      <c r="H583" s="7">
        <v>16475</v>
      </c>
      <c r="I583" s="7">
        <v>24802</v>
      </c>
      <c r="J583" s="7">
        <f t="shared" si="27"/>
        <v>82375</v>
      </c>
      <c r="K583" s="7">
        <f t="shared" si="28"/>
        <v>124010</v>
      </c>
      <c r="L583" s="8">
        <f t="shared" si="29"/>
        <v>41635</v>
      </c>
    </row>
    <row r="584" spans="1:12" x14ac:dyDescent="0.3">
      <c r="A584" s="8" t="s">
        <v>616</v>
      </c>
      <c r="B584" s="9">
        <v>45509</v>
      </c>
      <c r="C584" s="8" t="s">
        <v>26</v>
      </c>
      <c r="D584" s="8" t="s">
        <v>13</v>
      </c>
      <c r="E584" s="8" t="s">
        <v>14</v>
      </c>
      <c r="F584" s="8" t="s">
        <v>15</v>
      </c>
      <c r="G584" s="7">
        <v>9</v>
      </c>
      <c r="H584" s="7">
        <v>6368</v>
      </c>
      <c r="I584" s="7">
        <v>13954</v>
      </c>
      <c r="J584" s="7">
        <f t="shared" si="27"/>
        <v>57312</v>
      </c>
      <c r="K584" s="7">
        <f t="shared" si="28"/>
        <v>125586</v>
      </c>
      <c r="L584" s="8">
        <f t="shared" si="29"/>
        <v>68274</v>
      </c>
    </row>
    <row r="585" spans="1:12" x14ac:dyDescent="0.3">
      <c r="A585" s="8" t="s">
        <v>617</v>
      </c>
      <c r="B585" s="9">
        <v>45510</v>
      </c>
      <c r="C585" s="8" t="s">
        <v>16</v>
      </c>
      <c r="D585" s="8" t="s">
        <v>29</v>
      </c>
      <c r="E585" s="8" t="s">
        <v>14</v>
      </c>
      <c r="F585" s="8" t="s">
        <v>20</v>
      </c>
      <c r="G585" s="7">
        <v>5</v>
      </c>
      <c r="H585" s="7">
        <v>26203</v>
      </c>
      <c r="I585" s="7">
        <v>32651</v>
      </c>
      <c r="J585" s="7">
        <f t="shared" si="27"/>
        <v>131015</v>
      </c>
      <c r="K585" s="7">
        <f t="shared" si="28"/>
        <v>163255</v>
      </c>
      <c r="L585" s="8">
        <f t="shared" si="29"/>
        <v>32240</v>
      </c>
    </row>
    <row r="586" spans="1:12" x14ac:dyDescent="0.3">
      <c r="A586" s="8" t="s">
        <v>618</v>
      </c>
      <c r="B586" s="9">
        <v>45511</v>
      </c>
      <c r="C586" s="8" t="s">
        <v>26</v>
      </c>
      <c r="D586" s="8" t="s">
        <v>13</v>
      </c>
      <c r="E586" s="8" t="s">
        <v>14</v>
      </c>
      <c r="F586" s="8" t="s">
        <v>22</v>
      </c>
      <c r="G586" s="7">
        <v>10</v>
      </c>
      <c r="H586" s="7">
        <v>15749</v>
      </c>
      <c r="I586" s="7">
        <v>24248</v>
      </c>
      <c r="J586" s="7">
        <f t="shared" si="27"/>
        <v>157490</v>
      </c>
      <c r="K586" s="7">
        <f t="shared" si="28"/>
        <v>242480</v>
      </c>
      <c r="L586" s="8">
        <f t="shared" si="29"/>
        <v>84990</v>
      </c>
    </row>
    <row r="587" spans="1:12" x14ac:dyDescent="0.3">
      <c r="A587" s="8" t="s">
        <v>619</v>
      </c>
      <c r="B587" s="9">
        <v>45512</v>
      </c>
      <c r="C587" s="8" t="s">
        <v>16</v>
      </c>
      <c r="D587" s="8" t="s">
        <v>17</v>
      </c>
      <c r="E587" s="8" t="s">
        <v>14</v>
      </c>
      <c r="F587" s="8" t="s">
        <v>20</v>
      </c>
      <c r="G587" s="7">
        <v>6</v>
      </c>
      <c r="H587" s="7">
        <v>28614</v>
      </c>
      <c r="I587" s="7">
        <v>34277</v>
      </c>
      <c r="J587" s="7">
        <f t="shared" si="27"/>
        <v>171684</v>
      </c>
      <c r="K587" s="7">
        <f t="shared" si="28"/>
        <v>205662</v>
      </c>
      <c r="L587" s="8">
        <f t="shared" si="29"/>
        <v>33978</v>
      </c>
    </row>
    <row r="588" spans="1:12" x14ac:dyDescent="0.3">
      <c r="A588" s="8" t="s">
        <v>620</v>
      </c>
      <c r="B588" s="9">
        <v>45513</v>
      </c>
      <c r="C588" s="8" t="s">
        <v>23</v>
      </c>
      <c r="D588" s="8" t="s">
        <v>27</v>
      </c>
      <c r="E588" s="8" t="s">
        <v>14</v>
      </c>
      <c r="F588" s="8" t="s">
        <v>15</v>
      </c>
      <c r="G588" s="7">
        <v>1</v>
      </c>
      <c r="H588" s="7">
        <v>26860</v>
      </c>
      <c r="I588" s="7">
        <v>34641</v>
      </c>
      <c r="J588" s="7">
        <f t="shared" si="27"/>
        <v>26860</v>
      </c>
      <c r="K588" s="7">
        <f t="shared" si="28"/>
        <v>34641</v>
      </c>
      <c r="L588" s="8">
        <f t="shared" si="29"/>
        <v>7781</v>
      </c>
    </row>
    <row r="589" spans="1:12" x14ac:dyDescent="0.3">
      <c r="A589" s="8" t="s">
        <v>621</v>
      </c>
      <c r="B589" s="9">
        <v>45514</v>
      </c>
      <c r="C589" s="8" t="s">
        <v>16</v>
      </c>
      <c r="D589" s="8" t="s">
        <v>24</v>
      </c>
      <c r="E589" s="8" t="s">
        <v>18</v>
      </c>
      <c r="F589" s="8" t="s">
        <v>25</v>
      </c>
      <c r="G589" s="7">
        <v>8</v>
      </c>
      <c r="H589" s="7">
        <v>32624</v>
      </c>
      <c r="I589" s="7">
        <v>40754</v>
      </c>
      <c r="J589" s="7">
        <f t="shared" si="27"/>
        <v>260992</v>
      </c>
      <c r="K589" s="7">
        <f t="shared" si="28"/>
        <v>326032</v>
      </c>
      <c r="L589" s="8">
        <f t="shared" si="29"/>
        <v>65040</v>
      </c>
    </row>
    <row r="590" spans="1:12" x14ac:dyDescent="0.3">
      <c r="A590" s="8" t="s">
        <v>622</v>
      </c>
      <c r="B590" s="9">
        <v>45515</v>
      </c>
      <c r="C590" s="8" t="s">
        <v>26</v>
      </c>
      <c r="D590" s="8" t="s">
        <v>27</v>
      </c>
      <c r="E590" s="8" t="s">
        <v>14</v>
      </c>
      <c r="F590" s="8" t="s">
        <v>22</v>
      </c>
      <c r="G590" s="7">
        <v>6</v>
      </c>
      <c r="H590" s="7">
        <v>10307</v>
      </c>
      <c r="I590" s="7">
        <v>14915</v>
      </c>
      <c r="J590" s="7">
        <f t="shared" si="27"/>
        <v>61842</v>
      </c>
      <c r="K590" s="7">
        <f t="shared" si="28"/>
        <v>89490</v>
      </c>
      <c r="L590" s="8">
        <f t="shared" si="29"/>
        <v>27648</v>
      </c>
    </row>
    <row r="591" spans="1:12" x14ac:dyDescent="0.3">
      <c r="A591" s="8" t="s">
        <v>623</v>
      </c>
      <c r="B591" s="9">
        <v>45516</v>
      </c>
      <c r="C591" s="8" t="s">
        <v>23</v>
      </c>
      <c r="D591" s="8" t="s">
        <v>27</v>
      </c>
      <c r="E591" s="8" t="s">
        <v>18</v>
      </c>
      <c r="F591" s="8" t="s">
        <v>28</v>
      </c>
      <c r="G591" s="7">
        <v>1</v>
      </c>
      <c r="H591" s="7">
        <v>9932</v>
      </c>
      <c r="I591" s="7">
        <v>16330</v>
      </c>
      <c r="J591" s="7">
        <f t="shared" si="27"/>
        <v>9932</v>
      </c>
      <c r="K591" s="7">
        <f t="shared" si="28"/>
        <v>16330</v>
      </c>
      <c r="L591" s="8">
        <f t="shared" si="29"/>
        <v>6398</v>
      </c>
    </row>
    <row r="592" spans="1:12" x14ac:dyDescent="0.3">
      <c r="A592" s="8" t="s">
        <v>624</v>
      </c>
      <c r="B592" s="9">
        <v>45517</v>
      </c>
      <c r="C592" s="8" t="s">
        <v>12</v>
      </c>
      <c r="D592" s="8" t="s">
        <v>17</v>
      </c>
      <c r="E592" s="8" t="s">
        <v>18</v>
      </c>
      <c r="F592" s="8" t="s">
        <v>28</v>
      </c>
      <c r="G592" s="7">
        <v>9</v>
      </c>
      <c r="H592" s="7">
        <v>5092</v>
      </c>
      <c r="I592" s="7">
        <v>14487</v>
      </c>
      <c r="J592" s="7">
        <f t="shared" si="27"/>
        <v>45828</v>
      </c>
      <c r="K592" s="7">
        <f t="shared" si="28"/>
        <v>130383</v>
      </c>
      <c r="L592" s="8">
        <f t="shared" si="29"/>
        <v>84555</v>
      </c>
    </row>
    <row r="593" spans="1:12" x14ac:dyDescent="0.3">
      <c r="A593" s="8" t="s">
        <v>625</v>
      </c>
      <c r="B593" s="9">
        <v>45518</v>
      </c>
      <c r="C593" s="8" t="s">
        <v>16</v>
      </c>
      <c r="D593" s="8" t="s">
        <v>27</v>
      </c>
      <c r="E593" s="8" t="s">
        <v>18</v>
      </c>
      <c r="F593" s="8" t="s">
        <v>19</v>
      </c>
      <c r="G593" s="7">
        <v>6</v>
      </c>
      <c r="H593" s="7">
        <v>39336</v>
      </c>
      <c r="I593" s="7">
        <v>41136</v>
      </c>
      <c r="J593" s="7">
        <f t="shared" si="27"/>
        <v>236016</v>
      </c>
      <c r="K593" s="7">
        <f t="shared" si="28"/>
        <v>246816</v>
      </c>
      <c r="L593" s="8">
        <f t="shared" si="29"/>
        <v>10800</v>
      </c>
    </row>
    <row r="594" spans="1:12" x14ac:dyDescent="0.3">
      <c r="A594" s="8" t="s">
        <v>626</v>
      </c>
      <c r="B594" s="9">
        <v>45519</v>
      </c>
      <c r="C594" s="8" t="s">
        <v>23</v>
      </c>
      <c r="D594" s="8" t="s">
        <v>13</v>
      </c>
      <c r="E594" s="8" t="s">
        <v>14</v>
      </c>
      <c r="F594" s="8" t="s">
        <v>15</v>
      </c>
      <c r="G594" s="7">
        <v>2</v>
      </c>
      <c r="H594" s="7">
        <v>21418</v>
      </c>
      <c r="I594" s="7">
        <v>29524</v>
      </c>
      <c r="J594" s="7">
        <f t="shared" si="27"/>
        <v>42836</v>
      </c>
      <c r="K594" s="7">
        <f t="shared" si="28"/>
        <v>59048</v>
      </c>
      <c r="L594" s="8">
        <f t="shared" si="29"/>
        <v>16212</v>
      </c>
    </row>
    <row r="595" spans="1:12" x14ac:dyDescent="0.3">
      <c r="A595" s="8" t="s">
        <v>627</v>
      </c>
      <c r="B595" s="9">
        <v>45520</v>
      </c>
      <c r="C595" s="8" t="s">
        <v>12</v>
      </c>
      <c r="D595" s="8" t="s">
        <v>29</v>
      </c>
      <c r="E595" s="8" t="s">
        <v>18</v>
      </c>
      <c r="F595" s="8" t="s">
        <v>28</v>
      </c>
      <c r="G595" s="7">
        <v>3</v>
      </c>
      <c r="H595" s="7">
        <v>15055</v>
      </c>
      <c r="I595" s="7">
        <v>21282</v>
      </c>
      <c r="J595" s="7">
        <f t="shared" si="27"/>
        <v>45165</v>
      </c>
      <c r="K595" s="7">
        <f t="shared" si="28"/>
        <v>63846</v>
      </c>
      <c r="L595" s="8">
        <f t="shared" si="29"/>
        <v>18681</v>
      </c>
    </row>
    <row r="596" spans="1:12" x14ac:dyDescent="0.3">
      <c r="A596" s="8" t="s">
        <v>628</v>
      </c>
      <c r="B596" s="9">
        <v>45521</v>
      </c>
      <c r="C596" s="8" t="s">
        <v>16</v>
      </c>
      <c r="D596" s="8" t="s">
        <v>29</v>
      </c>
      <c r="E596" s="8" t="s">
        <v>18</v>
      </c>
      <c r="F596" s="8" t="s">
        <v>25</v>
      </c>
      <c r="G596" s="7">
        <v>4</v>
      </c>
      <c r="H596" s="7">
        <v>31222</v>
      </c>
      <c r="I596" s="7">
        <v>35326</v>
      </c>
      <c r="J596" s="7">
        <f t="shared" si="27"/>
        <v>124888</v>
      </c>
      <c r="K596" s="7">
        <f t="shared" si="28"/>
        <v>141304</v>
      </c>
      <c r="L596" s="8">
        <f t="shared" si="29"/>
        <v>16416</v>
      </c>
    </row>
    <row r="597" spans="1:12" x14ac:dyDescent="0.3">
      <c r="A597" s="8" t="s">
        <v>629</v>
      </c>
      <c r="B597" s="9">
        <v>45522</v>
      </c>
      <c r="C597" s="8" t="s">
        <v>26</v>
      </c>
      <c r="D597" s="8" t="s">
        <v>21</v>
      </c>
      <c r="E597" s="8" t="s">
        <v>14</v>
      </c>
      <c r="F597" s="8" t="s">
        <v>15</v>
      </c>
      <c r="G597" s="7">
        <v>9</v>
      </c>
      <c r="H597" s="7">
        <v>36428</v>
      </c>
      <c r="I597" s="7">
        <v>44213</v>
      </c>
      <c r="J597" s="7">
        <f t="shared" si="27"/>
        <v>327852</v>
      </c>
      <c r="K597" s="7">
        <f t="shared" si="28"/>
        <v>397917</v>
      </c>
      <c r="L597" s="8">
        <f t="shared" si="29"/>
        <v>70065</v>
      </c>
    </row>
    <row r="598" spans="1:12" x14ac:dyDescent="0.3">
      <c r="A598" s="8" t="s">
        <v>630</v>
      </c>
      <c r="B598" s="9">
        <v>45523</v>
      </c>
      <c r="C598" s="8" t="s">
        <v>23</v>
      </c>
      <c r="D598" s="8" t="s">
        <v>21</v>
      </c>
      <c r="E598" s="8" t="s">
        <v>18</v>
      </c>
      <c r="F598" s="8" t="s">
        <v>28</v>
      </c>
      <c r="G598" s="7">
        <v>7</v>
      </c>
      <c r="H598" s="7">
        <v>28791</v>
      </c>
      <c r="I598" s="7">
        <v>36340</v>
      </c>
      <c r="J598" s="7">
        <f t="shared" si="27"/>
        <v>201537</v>
      </c>
      <c r="K598" s="7">
        <f t="shared" si="28"/>
        <v>254380</v>
      </c>
      <c r="L598" s="8">
        <f t="shared" si="29"/>
        <v>52843</v>
      </c>
    </row>
    <row r="599" spans="1:12" x14ac:dyDescent="0.3">
      <c r="A599" s="8" t="s">
        <v>631</v>
      </c>
      <c r="B599" s="9">
        <v>45524</v>
      </c>
      <c r="C599" s="8" t="s">
        <v>23</v>
      </c>
      <c r="D599" s="8" t="s">
        <v>17</v>
      </c>
      <c r="E599" s="8" t="s">
        <v>18</v>
      </c>
      <c r="F599" s="8" t="s">
        <v>19</v>
      </c>
      <c r="G599" s="7">
        <v>1</v>
      </c>
      <c r="H599" s="7">
        <v>23560</v>
      </c>
      <c r="I599" s="7">
        <v>24203</v>
      </c>
      <c r="J599" s="7">
        <f t="shared" si="27"/>
        <v>23560</v>
      </c>
      <c r="K599" s="7">
        <f t="shared" si="28"/>
        <v>24203</v>
      </c>
      <c r="L599" s="8">
        <f t="shared" si="29"/>
        <v>643</v>
      </c>
    </row>
    <row r="600" spans="1:12" x14ac:dyDescent="0.3">
      <c r="A600" s="8" t="s">
        <v>632</v>
      </c>
      <c r="B600" s="9">
        <v>45525</v>
      </c>
      <c r="C600" s="8" t="s">
        <v>16</v>
      </c>
      <c r="D600" s="8" t="s">
        <v>24</v>
      </c>
      <c r="E600" s="8" t="s">
        <v>18</v>
      </c>
      <c r="F600" s="8" t="s">
        <v>25</v>
      </c>
      <c r="G600" s="7">
        <v>1</v>
      </c>
      <c r="H600" s="7">
        <v>25737</v>
      </c>
      <c r="I600" s="7">
        <v>31346</v>
      </c>
      <c r="J600" s="7">
        <f t="shared" si="27"/>
        <v>25737</v>
      </c>
      <c r="K600" s="7">
        <f t="shared" si="28"/>
        <v>31346</v>
      </c>
      <c r="L600" s="8">
        <f t="shared" si="29"/>
        <v>5609</v>
      </c>
    </row>
    <row r="601" spans="1:12" x14ac:dyDescent="0.3">
      <c r="A601" s="8" t="s">
        <v>633</v>
      </c>
      <c r="B601" s="9">
        <v>45526</v>
      </c>
      <c r="C601" s="8" t="s">
        <v>23</v>
      </c>
      <c r="D601" s="8" t="s">
        <v>29</v>
      </c>
      <c r="E601" s="8" t="s">
        <v>14</v>
      </c>
      <c r="F601" s="8" t="s">
        <v>22</v>
      </c>
      <c r="G601" s="7">
        <v>1</v>
      </c>
      <c r="H601" s="7">
        <v>13415</v>
      </c>
      <c r="I601" s="7">
        <v>19241</v>
      </c>
      <c r="J601" s="7">
        <f t="shared" si="27"/>
        <v>13415</v>
      </c>
      <c r="K601" s="7">
        <f t="shared" si="28"/>
        <v>19241</v>
      </c>
      <c r="L601" s="8">
        <f t="shared" si="29"/>
        <v>5826</v>
      </c>
    </row>
    <row r="602" spans="1:12" x14ac:dyDescent="0.3">
      <c r="A602" s="8" t="s">
        <v>634</v>
      </c>
      <c r="B602" s="9">
        <v>45527</v>
      </c>
      <c r="C602" s="8" t="s">
        <v>12</v>
      </c>
      <c r="D602" s="8" t="s">
        <v>29</v>
      </c>
      <c r="E602" s="8" t="s">
        <v>18</v>
      </c>
      <c r="F602" s="8" t="s">
        <v>28</v>
      </c>
      <c r="G602" s="7">
        <v>2</v>
      </c>
      <c r="H602" s="7">
        <v>17704</v>
      </c>
      <c r="I602" s="7">
        <v>25263</v>
      </c>
      <c r="J602" s="7">
        <f t="shared" si="27"/>
        <v>35408</v>
      </c>
      <c r="K602" s="7">
        <f t="shared" si="28"/>
        <v>50526</v>
      </c>
      <c r="L602" s="8">
        <f t="shared" si="29"/>
        <v>15118</v>
      </c>
    </row>
    <row r="603" spans="1:12" x14ac:dyDescent="0.3">
      <c r="A603" s="8" t="s">
        <v>635</v>
      </c>
      <c r="B603" s="9">
        <v>45528</v>
      </c>
      <c r="C603" s="8" t="s">
        <v>16</v>
      </c>
      <c r="D603" s="8" t="s">
        <v>17</v>
      </c>
      <c r="E603" s="8" t="s">
        <v>14</v>
      </c>
      <c r="F603" s="8" t="s">
        <v>15</v>
      </c>
      <c r="G603" s="7">
        <v>1</v>
      </c>
      <c r="H603" s="7">
        <v>17561</v>
      </c>
      <c r="I603" s="7">
        <v>24203</v>
      </c>
      <c r="J603" s="7">
        <f t="shared" si="27"/>
        <v>17561</v>
      </c>
      <c r="K603" s="7">
        <f t="shared" si="28"/>
        <v>24203</v>
      </c>
      <c r="L603" s="8">
        <f t="shared" si="29"/>
        <v>6642</v>
      </c>
    </row>
    <row r="604" spans="1:12" x14ac:dyDescent="0.3">
      <c r="A604" s="8" t="s">
        <v>636</v>
      </c>
      <c r="B604" s="9">
        <v>45529</v>
      </c>
      <c r="C604" s="8" t="s">
        <v>26</v>
      </c>
      <c r="D604" s="8" t="s">
        <v>17</v>
      </c>
      <c r="E604" s="8" t="s">
        <v>14</v>
      </c>
      <c r="F604" s="8" t="s">
        <v>20</v>
      </c>
      <c r="G604" s="7">
        <v>10</v>
      </c>
      <c r="H604" s="7">
        <v>26390</v>
      </c>
      <c r="I604" s="7">
        <v>35766</v>
      </c>
      <c r="J604" s="7">
        <f t="shared" si="27"/>
        <v>263900</v>
      </c>
      <c r="K604" s="7">
        <f t="shared" si="28"/>
        <v>357660</v>
      </c>
      <c r="L604" s="8">
        <f t="shared" si="29"/>
        <v>93760</v>
      </c>
    </row>
    <row r="605" spans="1:12" x14ac:dyDescent="0.3">
      <c r="A605" s="8" t="s">
        <v>637</v>
      </c>
      <c r="B605" s="9">
        <v>45530</v>
      </c>
      <c r="C605" s="8" t="s">
        <v>12</v>
      </c>
      <c r="D605" s="8" t="s">
        <v>13</v>
      </c>
      <c r="E605" s="8" t="s">
        <v>14</v>
      </c>
      <c r="F605" s="8" t="s">
        <v>22</v>
      </c>
      <c r="G605" s="7">
        <v>1</v>
      </c>
      <c r="H605" s="7">
        <v>14303</v>
      </c>
      <c r="I605" s="7">
        <v>21925</v>
      </c>
      <c r="J605" s="7">
        <f t="shared" si="27"/>
        <v>14303</v>
      </c>
      <c r="K605" s="7">
        <f t="shared" si="28"/>
        <v>21925</v>
      </c>
      <c r="L605" s="8">
        <f t="shared" si="29"/>
        <v>7622</v>
      </c>
    </row>
    <row r="606" spans="1:12" x14ac:dyDescent="0.3">
      <c r="A606" s="8" t="s">
        <v>638</v>
      </c>
      <c r="B606" s="9">
        <v>45531</v>
      </c>
      <c r="C606" s="8" t="s">
        <v>12</v>
      </c>
      <c r="D606" s="8" t="s">
        <v>17</v>
      </c>
      <c r="E606" s="8" t="s">
        <v>14</v>
      </c>
      <c r="F606" s="8" t="s">
        <v>20</v>
      </c>
      <c r="G606" s="7">
        <v>1</v>
      </c>
      <c r="H606" s="7">
        <v>20070</v>
      </c>
      <c r="I606" s="7">
        <v>21257</v>
      </c>
      <c r="J606" s="7">
        <f t="shared" si="27"/>
        <v>20070</v>
      </c>
      <c r="K606" s="7">
        <f t="shared" si="28"/>
        <v>21257</v>
      </c>
      <c r="L606" s="8">
        <f t="shared" si="29"/>
        <v>1187</v>
      </c>
    </row>
    <row r="607" spans="1:12" x14ac:dyDescent="0.3">
      <c r="A607" s="8" t="s">
        <v>639</v>
      </c>
      <c r="B607" s="9">
        <v>45532</v>
      </c>
      <c r="C607" s="8" t="s">
        <v>26</v>
      </c>
      <c r="D607" s="8" t="s">
        <v>27</v>
      </c>
      <c r="E607" s="8" t="s">
        <v>18</v>
      </c>
      <c r="F607" s="8" t="s">
        <v>19</v>
      </c>
      <c r="G607" s="7">
        <v>3</v>
      </c>
      <c r="H607" s="7">
        <v>14529</v>
      </c>
      <c r="I607" s="7">
        <v>16875</v>
      </c>
      <c r="J607" s="7">
        <f t="shared" si="27"/>
        <v>43587</v>
      </c>
      <c r="K607" s="7">
        <f t="shared" si="28"/>
        <v>50625</v>
      </c>
      <c r="L607" s="8">
        <f t="shared" si="29"/>
        <v>7038</v>
      </c>
    </row>
    <row r="608" spans="1:12" x14ac:dyDescent="0.3">
      <c r="A608" s="8" t="s">
        <v>640</v>
      </c>
      <c r="B608" s="9">
        <v>45533</v>
      </c>
      <c r="C608" s="8" t="s">
        <v>12</v>
      </c>
      <c r="D608" s="8" t="s">
        <v>29</v>
      </c>
      <c r="E608" s="8" t="s">
        <v>14</v>
      </c>
      <c r="F608" s="8" t="s">
        <v>20</v>
      </c>
      <c r="G608" s="7">
        <v>5</v>
      </c>
      <c r="H608" s="7">
        <v>36282</v>
      </c>
      <c r="I608" s="7">
        <v>41513</v>
      </c>
      <c r="J608" s="7">
        <f t="shared" si="27"/>
        <v>181410</v>
      </c>
      <c r="K608" s="7">
        <f t="shared" si="28"/>
        <v>207565</v>
      </c>
      <c r="L608" s="8">
        <f t="shared" si="29"/>
        <v>26155</v>
      </c>
    </row>
    <row r="609" spans="1:12" x14ac:dyDescent="0.3">
      <c r="A609" s="8" t="s">
        <v>641</v>
      </c>
      <c r="B609" s="9">
        <v>45534</v>
      </c>
      <c r="C609" s="8" t="s">
        <v>23</v>
      </c>
      <c r="D609" s="8" t="s">
        <v>24</v>
      </c>
      <c r="E609" s="8" t="s">
        <v>14</v>
      </c>
      <c r="F609" s="8" t="s">
        <v>15</v>
      </c>
      <c r="G609" s="7">
        <v>8</v>
      </c>
      <c r="H609" s="7">
        <v>11839</v>
      </c>
      <c r="I609" s="7">
        <v>13378</v>
      </c>
      <c r="J609" s="7">
        <f t="shared" si="27"/>
        <v>94712</v>
      </c>
      <c r="K609" s="7">
        <f t="shared" si="28"/>
        <v>107024</v>
      </c>
      <c r="L609" s="8">
        <f t="shared" si="29"/>
        <v>12312</v>
      </c>
    </row>
    <row r="610" spans="1:12" x14ac:dyDescent="0.3">
      <c r="A610" s="8" t="s">
        <v>642</v>
      </c>
      <c r="B610" s="9">
        <v>45535</v>
      </c>
      <c r="C610" s="8" t="s">
        <v>12</v>
      </c>
      <c r="D610" s="8" t="s">
        <v>17</v>
      </c>
      <c r="E610" s="8" t="s">
        <v>14</v>
      </c>
      <c r="F610" s="8" t="s">
        <v>20</v>
      </c>
      <c r="G610" s="7">
        <v>4</v>
      </c>
      <c r="H610" s="7">
        <v>19257</v>
      </c>
      <c r="I610" s="7">
        <v>20270</v>
      </c>
      <c r="J610" s="7">
        <f t="shared" si="27"/>
        <v>77028</v>
      </c>
      <c r="K610" s="7">
        <f t="shared" si="28"/>
        <v>81080</v>
      </c>
      <c r="L610" s="8">
        <f t="shared" si="29"/>
        <v>4052</v>
      </c>
    </row>
    <row r="611" spans="1:12" x14ac:dyDescent="0.3">
      <c r="A611" s="8" t="s">
        <v>643</v>
      </c>
      <c r="B611" s="9">
        <v>45536</v>
      </c>
      <c r="C611" s="8" t="s">
        <v>23</v>
      </c>
      <c r="D611" s="8" t="s">
        <v>17</v>
      </c>
      <c r="E611" s="8" t="s">
        <v>18</v>
      </c>
      <c r="F611" s="8" t="s">
        <v>28</v>
      </c>
      <c r="G611" s="7">
        <v>1</v>
      </c>
      <c r="H611" s="7">
        <v>11655</v>
      </c>
      <c r="I611" s="7">
        <v>17277</v>
      </c>
      <c r="J611" s="7">
        <f t="shared" si="27"/>
        <v>11655</v>
      </c>
      <c r="K611" s="7">
        <f t="shared" si="28"/>
        <v>17277</v>
      </c>
      <c r="L611" s="8">
        <f t="shared" si="29"/>
        <v>5622</v>
      </c>
    </row>
    <row r="612" spans="1:12" x14ac:dyDescent="0.3">
      <c r="A612" s="8" t="s">
        <v>644</v>
      </c>
      <c r="B612" s="9">
        <v>45537</v>
      </c>
      <c r="C612" s="8" t="s">
        <v>26</v>
      </c>
      <c r="D612" s="8" t="s">
        <v>24</v>
      </c>
      <c r="E612" s="8" t="s">
        <v>14</v>
      </c>
      <c r="F612" s="8" t="s">
        <v>20</v>
      </c>
      <c r="G612" s="7">
        <v>6</v>
      </c>
      <c r="H612" s="7">
        <v>37692</v>
      </c>
      <c r="I612" s="7">
        <v>44462</v>
      </c>
      <c r="J612" s="7">
        <f t="shared" si="27"/>
        <v>226152</v>
      </c>
      <c r="K612" s="7">
        <f t="shared" si="28"/>
        <v>266772</v>
      </c>
      <c r="L612" s="8">
        <f t="shared" si="29"/>
        <v>40620</v>
      </c>
    </row>
    <row r="613" spans="1:12" x14ac:dyDescent="0.3">
      <c r="A613" s="8" t="s">
        <v>645</v>
      </c>
      <c r="B613" s="9">
        <v>45538</v>
      </c>
      <c r="C613" s="8" t="s">
        <v>26</v>
      </c>
      <c r="D613" s="8" t="s">
        <v>27</v>
      </c>
      <c r="E613" s="8" t="s">
        <v>18</v>
      </c>
      <c r="F613" s="8" t="s">
        <v>25</v>
      </c>
      <c r="G613" s="7">
        <v>3</v>
      </c>
      <c r="H613" s="7">
        <v>29548</v>
      </c>
      <c r="I613" s="7">
        <v>31567</v>
      </c>
      <c r="J613" s="7">
        <f t="shared" si="27"/>
        <v>88644</v>
      </c>
      <c r="K613" s="7">
        <f t="shared" si="28"/>
        <v>94701</v>
      </c>
      <c r="L613" s="8">
        <f t="shared" si="29"/>
        <v>6057</v>
      </c>
    </row>
    <row r="614" spans="1:12" x14ac:dyDescent="0.3">
      <c r="A614" s="8" t="s">
        <v>646</v>
      </c>
      <c r="B614" s="9">
        <v>45539</v>
      </c>
      <c r="C614" s="8" t="s">
        <v>12</v>
      </c>
      <c r="D614" s="8" t="s">
        <v>27</v>
      </c>
      <c r="E614" s="8" t="s">
        <v>14</v>
      </c>
      <c r="F614" s="8" t="s">
        <v>15</v>
      </c>
      <c r="G614" s="7">
        <v>3</v>
      </c>
      <c r="H614" s="7">
        <v>25810</v>
      </c>
      <c r="I614" s="7">
        <v>35054</v>
      </c>
      <c r="J614" s="7">
        <f t="shared" si="27"/>
        <v>77430</v>
      </c>
      <c r="K614" s="7">
        <f t="shared" si="28"/>
        <v>105162</v>
      </c>
      <c r="L614" s="8">
        <f t="shared" si="29"/>
        <v>27732</v>
      </c>
    </row>
    <row r="615" spans="1:12" x14ac:dyDescent="0.3">
      <c r="A615" s="8" t="s">
        <v>647</v>
      </c>
      <c r="B615" s="9">
        <v>45540</v>
      </c>
      <c r="C615" s="8" t="s">
        <v>12</v>
      </c>
      <c r="D615" s="8" t="s">
        <v>27</v>
      </c>
      <c r="E615" s="8" t="s">
        <v>14</v>
      </c>
      <c r="F615" s="8" t="s">
        <v>22</v>
      </c>
      <c r="G615" s="7">
        <v>4</v>
      </c>
      <c r="H615" s="7">
        <v>14123</v>
      </c>
      <c r="I615" s="7">
        <v>19999</v>
      </c>
      <c r="J615" s="7">
        <f t="shared" si="27"/>
        <v>56492</v>
      </c>
      <c r="K615" s="7">
        <f t="shared" si="28"/>
        <v>79996</v>
      </c>
      <c r="L615" s="8">
        <f t="shared" si="29"/>
        <v>23504</v>
      </c>
    </row>
    <row r="616" spans="1:12" x14ac:dyDescent="0.3">
      <c r="A616" s="8" t="s">
        <v>648</v>
      </c>
      <c r="B616" s="9">
        <v>45541</v>
      </c>
      <c r="C616" s="8" t="s">
        <v>16</v>
      </c>
      <c r="D616" s="8" t="s">
        <v>29</v>
      </c>
      <c r="E616" s="8" t="s">
        <v>18</v>
      </c>
      <c r="F616" s="8" t="s">
        <v>25</v>
      </c>
      <c r="G616" s="7">
        <v>2</v>
      </c>
      <c r="H616" s="7">
        <v>22037</v>
      </c>
      <c r="I616" s="7">
        <v>26778</v>
      </c>
      <c r="J616" s="7">
        <f t="shared" si="27"/>
        <v>44074</v>
      </c>
      <c r="K616" s="7">
        <f t="shared" si="28"/>
        <v>53556</v>
      </c>
      <c r="L616" s="8">
        <f t="shared" si="29"/>
        <v>9482</v>
      </c>
    </row>
    <row r="617" spans="1:12" x14ac:dyDescent="0.3">
      <c r="A617" s="8" t="s">
        <v>649</v>
      </c>
      <c r="B617" s="9">
        <v>45542</v>
      </c>
      <c r="C617" s="8" t="s">
        <v>26</v>
      </c>
      <c r="D617" s="8" t="s">
        <v>27</v>
      </c>
      <c r="E617" s="8" t="s">
        <v>14</v>
      </c>
      <c r="F617" s="8" t="s">
        <v>22</v>
      </c>
      <c r="G617" s="7">
        <v>4</v>
      </c>
      <c r="H617" s="7">
        <v>913</v>
      </c>
      <c r="I617" s="7">
        <v>5545</v>
      </c>
      <c r="J617" s="7">
        <f t="shared" si="27"/>
        <v>3652</v>
      </c>
      <c r="K617" s="7">
        <f t="shared" si="28"/>
        <v>22180</v>
      </c>
      <c r="L617" s="8">
        <f t="shared" si="29"/>
        <v>18528</v>
      </c>
    </row>
    <row r="618" spans="1:12" x14ac:dyDescent="0.3">
      <c r="A618" s="8" t="s">
        <v>650</v>
      </c>
      <c r="B618" s="9">
        <v>45543</v>
      </c>
      <c r="C618" s="8" t="s">
        <v>12</v>
      </c>
      <c r="D618" s="8" t="s">
        <v>21</v>
      </c>
      <c r="E618" s="8" t="s">
        <v>14</v>
      </c>
      <c r="F618" s="8" t="s">
        <v>15</v>
      </c>
      <c r="G618" s="7">
        <v>4</v>
      </c>
      <c r="H618" s="7">
        <v>38180</v>
      </c>
      <c r="I618" s="7">
        <v>43378</v>
      </c>
      <c r="J618" s="7">
        <f t="shared" si="27"/>
        <v>152720</v>
      </c>
      <c r="K618" s="7">
        <f t="shared" si="28"/>
        <v>173512</v>
      </c>
      <c r="L618" s="8">
        <f t="shared" si="29"/>
        <v>20792</v>
      </c>
    </row>
    <row r="619" spans="1:12" x14ac:dyDescent="0.3">
      <c r="A619" s="8" t="s">
        <v>651</v>
      </c>
      <c r="B619" s="9">
        <v>45544</v>
      </c>
      <c r="C619" s="8" t="s">
        <v>23</v>
      </c>
      <c r="D619" s="8" t="s">
        <v>29</v>
      </c>
      <c r="E619" s="8" t="s">
        <v>14</v>
      </c>
      <c r="F619" s="8" t="s">
        <v>20</v>
      </c>
      <c r="G619" s="7">
        <v>3</v>
      </c>
      <c r="H619" s="7">
        <v>18174</v>
      </c>
      <c r="I619" s="7">
        <v>21380</v>
      </c>
      <c r="J619" s="7">
        <f t="shared" si="27"/>
        <v>54522</v>
      </c>
      <c r="K619" s="7">
        <f t="shared" si="28"/>
        <v>64140</v>
      </c>
      <c r="L619" s="8">
        <f t="shared" si="29"/>
        <v>9618</v>
      </c>
    </row>
    <row r="620" spans="1:12" x14ac:dyDescent="0.3">
      <c r="A620" s="8" t="s">
        <v>652</v>
      </c>
      <c r="B620" s="9">
        <v>45545</v>
      </c>
      <c r="C620" s="8" t="s">
        <v>26</v>
      </c>
      <c r="D620" s="8" t="s">
        <v>17</v>
      </c>
      <c r="E620" s="8" t="s">
        <v>14</v>
      </c>
      <c r="F620" s="8" t="s">
        <v>22</v>
      </c>
      <c r="G620" s="7">
        <v>8</v>
      </c>
      <c r="H620" s="7">
        <v>29986</v>
      </c>
      <c r="I620" s="7">
        <v>33360</v>
      </c>
      <c r="J620" s="7">
        <f t="shared" si="27"/>
        <v>239888</v>
      </c>
      <c r="K620" s="7">
        <f t="shared" si="28"/>
        <v>266880</v>
      </c>
      <c r="L620" s="8">
        <f t="shared" si="29"/>
        <v>26992</v>
      </c>
    </row>
    <row r="621" spans="1:12" x14ac:dyDescent="0.3">
      <c r="A621" s="8" t="s">
        <v>653</v>
      </c>
      <c r="B621" s="9">
        <v>45546</v>
      </c>
      <c r="C621" s="8" t="s">
        <v>16</v>
      </c>
      <c r="D621" s="8" t="s">
        <v>27</v>
      </c>
      <c r="E621" s="8" t="s">
        <v>18</v>
      </c>
      <c r="F621" s="8" t="s">
        <v>25</v>
      </c>
      <c r="G621" s="7">
        <v>3</v>
      </c>
      <c r="H621" s="7">
        <v>10387</v>
      </c>
      <c r="I621" s="7">
        <v>13664</v>
      </c>
      <c r="J621" s="7">
        <f t="shared" si="27"/>
        <v>31161</v>
      </c>
      <c r="K621" s="7">
        <f t="shared" si="28"/>
        <v>40992</v>
      </c>
      <c r="L621" s="8">
        <f t="shared" si="29"/>
        <v>9831</v>
      </c>
    </row>
    <row r="622" spans="1:12" x14ac:dyDescent="0.3">
      <c r="A622" s="8" t="s">
        <v>654</v>
      </c>
      <c r="B622" s="9">
        <v>45547</v>
      </c>
      <c r="C622" s="8" t="s">
        <v>16</v>
      </c>
      <c r="D622" s="8" t="s">
        <v>27</v>
      </c>
      <c r="E622" s="8" t="s">
        <v>14</v>
      </c>
      <c r="F622" s="8" t="s">
        <v>20</v>
      </c>
      <c r="G622" s="7">
        <v>5</v>
      </c>
      <c r="H622" s="7">
        <v>20203</v>
      </c>
      <c r="I622" s="7">
        <v>27971</v>
      </c>
      <c r="J622" s="7">
        <f t="shared" si="27"/>
        <v>101015</v>
      </c>
      <c r="K622" s="7">
        <f t="shared" si="28"/>
        <v>139855</v>
      </c>
      <c r="L622" s="8">
        <f t="shared" si="29"/>
        <v>38840</v>
      </c>
    </row>
    <row r="623" spans="1:12" x14ac:dyDescent="0.3">
      <c r="A623" s="8" t="s">
        <v>655</v>
      </c>
      <c r="B623" s="9">
        <v>45548</v>
      </c>
      <c r="C623" s="8" t="s">
        <v>16</v>
      </c>
      <c r="D623" s="8" t="s">
        <v>17</v>
      </c>
      <c r="E623" s="8" t="s">
        <v>14</v>
      </c>
      <c r="F623" s="8" t="s">
        <v>20</v>
      </c>
      <c r="G623" s="7">
        <v>8</v>
      </c>
      <c r="H623" s="7">
        <v>7947</v>
      </c>
      <c r="I623" s="7">
        <v>12937</v>
      </c>
      <c r="J623" s="7">
        <f t="shared" si="27"/>
        <v>63576</v>
      </c>
      <c r="K623" s="7">
        <f t="shared" si="28"/>
        <v>103496</v>
      </c>
      <c r="L623" s="8">
        <f t="shared" si="29"/>
        <v>39920</v>
      </c>
    </row>
    <row r="624" spans="1:12" x14ac:dyDescent="0.3">
      <c r="A624" s="8" t="s">
        <v>656</v>
      </c>
      <c r="B624" s="9">
        <v>45549</v>
      </c>
      <c r="C624" s="8" t="s">
        <v>23</v>
      </c>
      <c r="D624" s="8" t="s">
        <v>17</v>
      </c>
      <c r="E624" s="8" t="s">
        <v>14</v>
      </c>
      <c r="F624" s="8" t="s">
        <v>22</v>
      </c>
      <c r="G624" s="7">
        <v>9</v>
      </c>
      <c r="H624" s="7">
        <v>2060</v>
      </c>
      <c r="I624" s="7">
        <v>5382</v>
      </c>
      <c r="J624" s="7">
        <f t="shared" si="27"/>
        <v>18540</v>
      </c>
      <c r="K624" s="7">
        <f t="shared" si="28"/>
        <v>48438</v>
      </c>
      <c r="L624" s="8">
        <f t="shared" si="29"/>
        <v>29898</v>
      </c>
    </row>
    <row r="625" spans="1:12" x14ac:dyDescent="0.3">
      <c r="A625" s="8" t="s">
        <v>657</v>
      </c>
      <c r="B625" s="9">
        <v>45550</v>
      </c>
      <c r="C625" s="8" t="s">
        <v>23</v>
      </c>
      <c r="D625" s="8" t="s">
        <v>13</v>
      </c>
      <c r="E625" s="8" t="s">
        <v>14</v>
      </c>
      <c r="F625" s="8" t="s">
        <v>20</v>
      </c>
      <c r="G625" s="7">
        <v>8</v>
      </c>
      <c r="H625" s="7">
        <v>6390</v>
      </c>
      <c r="I625" s="7">
        <v>14530</v>
      </c>
      <c r="J625" s="7">
        <f t="shared" si="27"/>
        <v>51120</v>
      </c>
      <c r="K625" s="7">
        <f t="shared" si="28"/>
        <v>116240</v>
      </c>
      <c r="L625" s="8">
        <f t="shared" si="29"/>
        <v>65120</v>
      </c>
    </row>
    <row r="626" spans="1:12" x14ac:dyDescent="0.3">
      <c r="A626" s="8" t="s">
        <v>658</v>
      </c>
      <c r="B626" s="9">
        <v>45551</v>
      </c>
      <c r="C626" s="8" t="s">
        <v>16</v>
      </c>
      <c r="D626" s="8" t="s">
        <v>21</v>
      </c>
      <c r="E626" s="8" t="s">
        <v>18</v>
      </c>
      <c r="F626" s="8" t="s">
        <v>19</v>
      </c>
      <c r="G626" s="7">
        <v>9</v>
      </c>
      <c r="H626" s="7">
        <v>38898</v>
      </c>
      <c r="I626" s="7">
        <v>41255</v>
      </c>
      <c r="J626" s="7">
        <f t="shared" si="27"/>
        <v>350082</v>
      </c>
      <c r="K626" s="7">
        <f t="shared" si="28"/>
        <v>371295</v>
      </c>
      <c r="L626" s="8">
        <f t="shared" si="29"/>
        <v>21213</v>
      </c>
    </row>
    <row r="627" spans="1:12" x14ac:dyDescent="0.3">
      <c r="A627" s="8" t="s">
        <v>659</v>
      </c>
      <c r="B627" s="9">
        <v>45552</v>
      </c>
      <c r="C627" s="8" t="s">
        <v>16</v>
      </c>
      <c r="D627" s="8" t="s">
        <v>17</v>
      </c>
      <c r="E627" s="8" t="s">
        <v>14</v>
      </c>
      <c r="F627" s="8" t="s">
        <v>20</v>
      </c>
      <c r="G627" s="7">
        <v>8</v>
      </c>
      <c r="H627" s="7">
        <v>25723</v>
      </c>
      <c r="I627" s="7">
        <v>34669</v>
      </c>
      <c r="J627" s="7">
        <f t="shared" si="27"/>
        <v>205784</v>
      </c>
      <c r="K627" s="7">
        <f t="shared" si="28"/>
        <v>277352</v>
      </c>
      <c r="L627" s="8">
        <f t="shared" si="29"/>
        <v>71568</v>
      </c>
    </row>
    <row r="628" spans="1:12" x14ac:dyDescent="0.3">
      <c r="A628" s="8" t="s">
        <v>660</v>
      </c>
      <c r="B628" s="9">
        <v>45553</v>
      </c>
      <c r="C628" s="8" t="s">
        <v>16</v>
      </c>
      <c r="D628" s="8" t="s">
        <v>29</v>
      </c>
      <c r="E628" s="8" t="s">
        <v>18</v>
      </c>
      <c r="F628" s="8" t="s">
        <v>19</v>
      </c>
      <c r="G628" s="7">
        <v>1</v>
      </c>
      <c r="H628" s="7">
        <v>6998</v>
      </c>
      <c r="I628" s="7">
        <v>9331</v>
      </c>
      <c r="J628" s="7">
        <f t="shared" si="27"/>
        <v>6998</v>
      </c>
      <c r="K628" s="7">
        <f t="shared" si="28"/>
        <v>9331</v>
      </c>
      <c r="L628" s="8">
        <f t="shared" si="29"/>
        <v>2333</v>
      </c>
    </row>
    <row r="629" spans="1:12" x14ac:dyDescent="0.3">
      <c r="A629" s="8" t="s">
        <v>661</v>
      </c>
      <c r="B629" s="9">
        <v>45554</v>
      </c>
      <c r="C629" s="8" t="s">
        <v>26</v>
      </c>
      <c r="D629" s="8" t="s">
        <v>27</v>
      </c>
      <c r="E629" s="8" t="s">
        <v>18</v>
      </c>
      <c r="F629" s="8" t="s">
        <v>28</v>
      </c>
      <c r="G629" s="7">
        <v>3</v>
      </c>
      <c r="H629" s="7">
        <v>5076</v>
      </c>
      <c r="I629" s="7">
        <v>14959</v>
      </c>
      <c r="J629" s="7">
        <f t="shared" si="27"/>
        <v>15228</v>
      </c>
      <c r="K629" s="7">
        <f t="shared" si="28"/>
        <v>44877</v>
      </c>
      <c r="L629" s="8">
        <f t="shared" si="29"/>
        <v>29649</v>
      </c>
    </row>
    <row r="630" spans="1:12" x14ac:dyDescent="0.3">
      <c r="A630" s="8" t="s">
        <v>662</v>
      </c>
      <c r="B630" s="9">
        <v>45555</v>
      </c>
      <c r="C630" s="8" t="s">
        <v>16</v>
      </c>
      <c r="D630" s="8" t="s">
        <v>17</v>
      </c>
      <c r="E630" s="8" t="s">
        <v>18</v>
      </c>
      <c r="F630" s="8" t="s">
        <v>25</v>
      </c>
      <c r="G630" s="7">
        <v>8</v>
      </c>
      <c r="H630" s="7">
        <v>2537</v>
      </c>
      <c r="I630" s="7">
        <v>2939</v>
      </c>
      <c r="J630" s="7">
        <f t="shared" si="27"/>
        <v>20296</v>
      </c>
      <c r="K630" s="7">
        <f t="shared" si="28"/>
        <v>23512</v>
      </c>
      <c r="L630" s="8">
        <f t="shared" si="29"/>
        <v>3216</v>
      </c>
    </row>
    <row r="631" spans="1:12" x14ac:dyDescent="0.3">
      <c r="A631" s="8" t="s">
        <v>663</v>
      </c>
      <c r="B631" s="9">
        <v>45556</v>
      </c>
      <c r="C631" s="8" t="s">
        <v>23</v>
      </c>
      <c r="D631" s="8" t="s">
        <v>24</v>
      </c>
      <c r="E631" s="8" t="s">
        <v>14</v>
      </c>
      <c r="F631" s="8" t="s">
        <v>22</v>
      </c>
      <c r="G631" s="7">
        <v>6</v>
      </c>
      <c r="H631" s="7">
        <v>31028</v>
      </c>
      <c r="I631" s="7">
        <v>34895</v>
      </c>
      <c r="J631" s="7">
        <f t="shared" si="27"/>
        <v>186168</v>
      </c>
      <c r="K631" s="7">
        <f t="shared" si="28"/>
        <v>209370</v>
      </c>
      <c r="L631" s="8">
        <f t="shared" si="29"/>
        <v>23202</v>
      </c>
    </row>
    <row r="632" spans="1:12" x14ac:dyDescent="0.3">
      <c r="A632" s="8" t="s">
        <v>664</v>
      </c>
      <c r="B632" s="9">
        <v>45557</v>
      </c>
      <c r="C632" s="8" t="s">
        <v>16</v>
      </c>
      <c r="D632" s="8" t="s">
        <v>21</v>
      </c>
      <c r="E632" s="8" t="s">
        <v>14</v>
      </c>
      <c r="F632" s="8" t="s">
        <v>22</v>
      </c>
      <c r="G632" s="7">
        <v>4</v>
      </c>
      <c r="H632" s="7">
        <v>2728</v>
      </c>
      <c r="I632" s="7">
        <v>12579</v>
      </c>
      <c r="J632" s="7">
        <f t="shared" si="27"/>
        <v>10912</v>
      </c>
      <c r="K632" s="7">
        <f t="shared" si="28"/>
        <v>50316</v>
      </c>
      <c r="L632" s="8">
        <f t="shared" si="29"/>
        <v>39404</v>
      </c>
    </row>
    <row r="633" spans="1:12" x14ac:dyDescent="0.3">
      <c r="A633" s="8" t="s">
        <v>665</v>
      </c>
      <c r="B633" s="9">
        <v>45558</v>
      </c>
      <c r="C633" s="8" t="s">
        <v>16</v>
      </c>
      <c r="D633" s="8" t="s">
        <v>13</v>
      </c>
      <c r="E633" s="8" t="s">
        <v>14</v>
      </c>
      <c r="F633" s="8" t="s">
        <v>20</v>
      </c>
      <c r="G633" s="7">
        <v>9</v>
      </c>
      <c r="H633" s="7">
        <v>30549</v>
      </c>
      <c r="I633" s="7">
        <v>33539</v>
      </c>
      <c r="J633" s="7">
        <f t="shared" si="27"/>
        <v>274941</v>
      </c>
      <c r="K633" s="7">
        <f t="shared" si="28"/>
        <v>301851</v>
      </c>
      <c r="L633" s="8">
        <f t="shared" si="29"/>
        <v>26910</v>
      </c>
    </row>
    <row r="634" spans="1:12" x14ac:dyDescent="0.3">
      <c r="A634" s="8" t="s">
        <v>666</v>
      </c>
      <c r="B634" s="9">
        <v>45559</v>
      </c>
      <c r="C634" s="8" t="s">
        <v>16</v>
      </c>
      <c r="D634" s="8" t="s">
        <v>17</v>
      </c>
      <c r="E634" s="8" t="s">
        <v>18</v>
      </c>
      <c r="F634" s="8" t="s">
        <v>19</v>
      </c>
      <c r="G634" s="7">
        <v>2</v>
      </c>
      <c r="H634" s="7">
        <v>34009</v>
      </c>
      <c r="I634" s="7">
        <v>39010</v>
      </c>
      <c r="J634" s="7">
        <f t="shared" si="27"/>
        <v>68018</v>
      </c>
      <c r="K634" s="7">
        <f t="shared" si="28"/>
        <v>78020</v>
      </c>
      <c r="L634" s="8">
        <f t="shared" si="29"/>
        <v>10002</v>
      </c>
    </row>
    <row r="635" spans="1:12" x14ac:dyDescent="0.3">
      <c r="A635" s="8" t="s">
        <v>667</v>
      </c>
      <c r="B635" s="9">
        <v>45560</v>
      </c>
      <c r="C635" s="8" t="s">
        <v>12</v>
      </c>
      <c r="D635" s="8" t="s">
        <v>13</v>
      </c>
      <c r="E635" s="8" t="s">
        <v>14</v>
      </c>
      <c r="F635" s="8" t="s">
        <v>15</v>
      </c>
      <c r="G635" s="7">
        <v>3</v>
      </c>
      <c r="H635" s="7">
        <v>30558</v>
      </c>
      <c r="I635" s="7">
        <v>32438</v>
      </c>
      <c r="J635" s="7">
        <f t="shared" si="27"/>
        <v>91674</v>
      </c>
      <c r="K635" s="7">
        <f t="shared" si="28"/>
        <v>97314</v>
      </c>
      <c r="L635" s="8">
        <f t="shared" si="29"/>
        <v>5640</v>
      </c>
    </row>
    <row r="636" spans="1:12" x14ac:dyDescent="0.3">
      <c r="A636" s="8" t="s">
        <v>668</v>
      </c>
      <c r="B636" s="9">
        <v>45561</v>
      </c>
      <c r="C636" s="8" t="s">
        <v>26</v>
      </c>
      <c r="D636" s="8" t="s">
        <v>24</v>
      </c>
      <c r="E636" s="8" t="s">
        <v>18</v>
      </c>
      <c r="F636" s="8" t="s">
        <v>28</v>
      </c>
      <c r="G636" s="7">
        <v>3</v>
      </c>
      <c r="H636" s="7">
        <v>35038</v>
      </c>
      <c r="I636" s="7">
        <v>35770</v>
      </c>
      <c r="J636" s="7">
        <f t="shared" si="27"/>
        <v>105114</v>
      </c>
      <c r="K636" s="7">
        <f t="shared" si="28"/>
        <v>107310</v>
      </c>
      <c r="L636" s="8">
        <f t="shared" si="29"/>
        <v>2196</v>
      </c>
    </row>
    <row r="637" spans="1:12" x14ac:dyDescent="0.3">
      <c r="A637" s="8" t="s">
        <v>669</v>
      </c>
      <c r="B637" s="9">
        <v>45562</v>
      </c>
      <c r="C637" s="8" t="s">
        <v>23</v>
      </c>
      <c r="D637" s="8" t="s">
        <v>27</v>
      </c>
      <c r="E637" s="8" t="s">
        <v>18</v>
      </c>
      <c r="F637" s="8" t="s">
        <v>28</v>
      </c>
      <c r="G637" s="7">
        <v>3</v>
      </c>
      <c r="H637" s="7">
        <v>24443</v>
      </c>
      <c r="I637" s="7">
        <v>29661</v>
      </c>
      <c r="J637" s="7">
        <f t="shared" si="27"/>
        <v>73329</v>
      </c>
      <c r="K637" s="7">
        <f t="shared" si="28"/>
        <v>88983</v>
      </c>
      <c r="L637" s="8">
        <f t="shared" si="29"/>
        <v>15654</v>
      </c>
    </row>
    <row r="638" spans="1:12" x14ac:dyDescent="0.3">
      <c r="A638" s="8" t="s">
        <v>670</v>
      </c>
      <c r="B638" s="9">
        <v>45563</v>
      </c>
      <c r="C638" s="8" t="s">
        <v>23</v>
      </c>
      <c r="D638" s="8" t="s">
        <v>13</v>
      </c>
      <c r="E638" s="8" t="s">
        <v>18</v>
      </c>
      <c r="F638" s="8" t="s">
        <v>19</v>
      </c>
      <c r="G638" s="7">
        <v>6</v>
      </c>
      <c r="H638" s="7">
        <v>12654</v>
      </c>
      <c r="I638" s="7">
        <v>17365</v>
      </c>
      <c r="J638" s="7">
        <f t="shared" si="27"/>
        <v>75924</v>
      </c>
      <c r="K638" s="7">
        <f t="shared" si="28"/>
        <v>104190</v>
      </c>
      <c r="L638" s="8">
        <f t="shared" si="29"/>
        <v>28266</v>
      </c>
    </row>
    <row r="639" spans="1:12" x14ac:dyDescent="0.3">
      <c r="A639" s="8" t="s">
        <v>671</v>
      </c>
      <c r="B639" s="9">
        <v>45564</v>
      </c>
      <c r="C639" s="8" t="s">
        <v>12</v>
      </c>
      <c r="D639" s="8" t="s">
        <v>27</v>
      </c>
      <c r="E639" s="8" t="s">
        <v>14</v>
      </c>
      <c r="F639" s="8" t="s">
        <v>15</v>
      </c>
      <c r="G639" s="7">
        <v>7</v>
      </c>
      <c r="H639" s="7">
        <v>30937</v>
      </c>
      <c r="I639" s="7">
        <v>36858</v>
      </c>
      <c r="J639" s="7">
        <f t="shared" si="27"/>
        <v>216559</v>
      </c>
      <c r="K639" s="7">
        <f t="shared" si="28"/>
        <v>258006</v>
      </c>
      <c r="L639" s="8">
        <f t="shared" si="29"/>
        <v>41447</v>
      </c>
    </row>
    <row r="640" spans="1:12" x14ac:dyDescent="0.3">
      <c r="A640" s="8" t="s">
        <v>672</v>
      </c>
      <c r="B640" s="9">
        <v>45565</v>
      </c>
      <c r="C640" s="8" t="s">
        <v>16</v>
      </c>
      <c r="D640" s="8" t="s">
        <v>29</v>
      </c>
      <c r="E640" s="8" t="s">
        <v>14</v>
      </c>
      <c r="F640" s="8" t="s">
        <v>22</v>
      </c>
      <c r="G640" s="7">
        <v>6</v>
      </c>
      <c r="H640" s="7">
        <v>39139</v>
      </c>
      <c r="I640" s="7">
        <v>43375</v>
      </c>
      <c r="J640" s="7">
        <f t="shared" si="27"/>
        <v>234834</v>
      </c>
      <c r="K640" s="7">
        <f t="shared" si="28"/>
        <v>260250</v>
      </c>
      <c r="L640" s="8">
        <f t="shared" si="29"/>
        <v>25416</v>
      </c>
    </row>
    <row r="641" spans="1:12" x14ac:dyDescent="0.3">
      <c r="A641" s="8" t="s">
        <v>673</v>
      </c>
      <c r="B641" s="9">
        <v>45566</v>
      </c>
      <c r="C641" s="8" t="s">
        <v>12</v>
      </c>
      <c r="D641" s="8" t="s">
        <v>13</v>
      </c>
      <c r="E641" s="8" t="s">
        <v>18</v>
      </c>
      <c r="F641" s="8" t="s">
        <v>25</v>
      </c>
      <c r="G641" s="7">
        <v>6</v>
      </c>
      <c r="H641" s="7">
        <v>29642</v>
      </c>
      <c r="I641" s="7">
        <v>33246</v>
      </c>
      <c r="J641" s="7">
        <f t="shared" si="27"/>
        <v>177852</v>
      </c>
      <c r="K641" s="7">
        <f t="shared" si="28"/>
        <v>199476</v>
      </c>
      <c r="L641" s="8">
        <f t="shared" si="29"/>
        <v>21624</v>
      </c>
    </row>
    <row r="642" spans="1:12" x14ac:dyDescent="0.3">
      <c r="A642" s="8" t="s">
        <v>674</v>
      </c>
      <c r="B642" s="9">
        <v>45567</v>
      </c>
      <c r="C642" s="8" t="s">
        <v>16</v>
      </c>
      <c r="D642" s="8" t="s">
        <v>27</v>
      </c>
      <c r="E642" s="8" t="s">
        <v>18</v>
      </c>
      <c r="F642" s="8" t="s">
        <v>28</v>
      </c>
      <c r="G642" s="7">
        <v>6</v>
      </c>
      <c r="H642" s="7">
        <v>20154</v>
      </c>
      <c r="I642" s="7">
        <v>25640</v>
      </c>
      <c r="J642" s="7">
        <f t="shared" si="27"/>
        <v>120924</v>
      </c>
      <c r="K642" s="7">
        <f t="shared" si="28"/>
        <v>153840</v>
      </c>
      <c r="L642" s="8">
        <f t="shared" si="29"/>
        <v>32916</v>
      </c>
    </row>
    <row r="643" spans="1:12" x14ac:dyDescent="0.3">
      <c r="A643" s="8" t="s">
        <v>675</v>
      </c>
      <c r="B643" s="9">
        <v>45568</v>
      </c>
      <c r="C643" s="8" t="s">
        <v>16</v>
      </c>
      <c r="D643" s="8" t="s">
        <v>29</v>
      </c>
      <c r="E643" s="8" t="s">
        <v>18</v>
      </c>
      <c r="F643" s="8" t="s">
        <v>28</v>
      </c>
      <c r="G643" s="7">
        <v>3</v>
      </c>
      <c r="H643" s="7">
        <v>18997</v>
      </c>
      <c r="I643" s="7">
        <v>25919</v>
      </c>
      <c r="J643" s="7">
        <f t="shared" ref="J643:J706" si="30">G643*H643</f>
        <v>56991</v>
      </c>
      <c r="K643" s="7">
        <f t="shared" ref="K643:K706" si="31">G643*I643</f>
        <v>77757</v>
      </c>
      <c r="L643" s="8">
        <f t="shared" ref="L643:L706" si="32">(I643-H643)*G643</f>
        <v>20766</v>
      </c>
    </row>
    <row r="644" spans="1:12" x14ac:dyDescent="0.3">
      <c r="A644" s="8" t="s">
        <v>676</v>
      </c>
      <c r="B644" s="9">
        <v>45569</v>
      </c>
      <c r="C644" s="8" t="s">
        <v>12</v>
      </c>
      <c r="D644" s="8" t="s">
        <v>13</v>
      </c>
      <c r="E644" s="8" t="s">
        <v>18</v>
      </c>
      <c r="F644" s="8" t="s">
        <v>25</v>
      </c>
      <c r="G644" s="7">
        <v>5</v>
      </c>
      <c r="H644" s="7">
        <v>4736</v>
      </c>
      <c r="I644" s="7">
        <v>5968</v>
      </c>
      <c r="J644" s="7">
        <f t="shared" si="30"/>
        <v>23680</v>
      </c>
      <c r="K644" s="7">
        <f t="shared" si="31"/>
        <v>29840</v>
      </c>
      <c r="L644" s="8">
        <f t="shared" si="32"/>
        <v>6160</v>
      </c>
    </row>
    <row r="645" spans="1:12" x14ac:dyDescent="0.3">
      <c r="A645" s="8" t="s">
        <v>677</v>
      </c>
      <c r="B645" s="9">
        <v>45570</v>
      </c>
      <c r="C645" s="8" t="s">
        <v>23</v>
      </c>
      <c r="D645" s="8" t="s">
        <v>17</v>
      </c>
      <c r="E645" s="8" t="s">
        <v>14</v>
      </c>
      <c r="F645" s="8" t="s">
        <v>20</v>
      </c>
      <c r="G645" s="7">
        <v>7</v>
      </c>
      <c r="H645" s="7">
        <v>4073</v>
      </c>
      <c r="I645" s="7">
        <v>10914</v>
      </c>
      <c r="J645" s="7">
        <f t="shared" si="30"/>
        <v>28511</v>
      </c>
      <c r="K645" s="7">
        <f t="shared" si="31"/>
        <v>76398</v>
      </c>
      <c r="L645" s="8">
        <f t="shared" si="32"/>
        <v>47887</v>
      </c>
    </row>
    <row r="646" spans="1:12" x14ac:dyDescent="0.3">
      <c r="A646" s="8" t="s">
        <v>678</v>
      </c>
      <c r="B646" s="9">
        <v>45571</v>
      </c>
      <c r="C646" s="8" t="s">
        <v>12</v>
      </c>
      <c r="D646" s="8" t="s">
        <v>21</v>
      </c>
      <c r="E646" s="8" t="s">
        <v>18</v>
      </c>
      <c r="F646" s="8" t="s">
        <v>25</v>
      </c>
      <c r="G646" s="7">
        <v>9</v>
      </c>
      <c r="H646" s="7">
        <v>33144</v>
      </c>
      <c r="I646" s="7">
        <v>37652</v>
      </c>
      <c r="J646" s="7">
        <f t="shared" si="30"/>
        <v>298296</v>
      </c>
      <c r="K646" s="7">
        <f t="shared" si="31"/>
        <v>338868</v>
      </c>
      <c r="L646" s="8">
        <f t="shared" si="32"/>
        <v>40572</v>
      </c>
    </row>
    <row r="647" spans="1:12" x14ac:dyDescent="0.3">
      <c r="A647" s="8" t="s">
        <v>679</v>
      </c>
      <c r="B647" s="9">
        <v>45572</v>
      </c>
      <c r="C647" s="8" t="s">
        <v>16</v>
      </c>
      <c r="D647" s="8" t="s">
        <v>17</v>
      </c>
      <c r="E647" s="8" t="s">
        <v>18</v>
      </c>
      <c r="F647" s="8" t="s">
        <v>28</v>
      </c>
      <c r="G647" s="7">
        <v>9</v>
      </c>
      <c r="H647" s="7">
        <v>36576</v>
      </c>
      <c r="I647" s="7">
        <v>44663</v>
      </c>
      <c r="J647" s="7">
        <f t="shared" si="30"/>
        <v>329184</v>
      </c>
      <c r="K647" s="7">
        <f t="shared" si="31"/>
        <v>401967</v>
      </c>
      <c r="L647" s="8">
        <f t="shared" si="32"/>
        <v>72783</v>
      </c>
    </row>
    <row r="648" spans="1:12" x14ac:dyDescent="0.3">
      <c r="A648" s="8" t="s">
        <v>680</v>
      </c>
      <c r="B648" s="9">
        <v>45573</v>
      </c>
      <c r="C648" s="8" t="s">
        <v>26</v>
      </c>
      <c r="D648" s="8" t="s">
        <v>13</v>
      </c>
      <c r="E648" s="8" t="s">
        <v>14</v>
      </c>
      <c r="F648" s="8" t="s">
        <v>22</v>
      </c>
      <c r="G648" s="7">
        <v>6</v>
      </c>
      <c r="H648" s="7">
        <v>19606</v>
      </c>
      <c r="I648" s="7">
        <v>23656</v>
      </c>
      <c r="J648" s="7">
        <f t="shared" si="30"/>
        <v>117636</v>
      </c>
      <c r="K648" s="7">
        <f t="shared" si="31"/>
        <v>141936</v>
      </c>
      <c r="L648" s="8">
        <f t="shared" si="32"/>
        <v>24300</v>
      </c>
    </row>
    <row r="649" spans="1:12" x14ac:dyDescent="0.3">
      <c r="A649" s="8" t="s">
        <v>681</v>
      </c>
      <c r="B649" s="9">
        <v>45574</v>
      </c>
      <c r="C649" s="8" t="s">
        <v>12</v>
      </c>
      <c r="D649" s="8" t="s">
        <v>29</v>
      </c>
      <c r="E649" s="8" t="s">
        <v>18</v>
      </c>
      <c r="F649" s="8" t="s">
        <v>25</v>
      </c>
      <c r="G649" s="7">
        <v>7</v>
      </c>
      <c r="H649" s="7">
        <v>17351</v>
      </c>
      <c r="I649" s="7">
        <v>17789</v>
      </c>
      <c r="J649" s="7">
        <f t="shared" si="30"/>
        <v>121457</v>
      </c>
      <c r="K649" s="7">
        <f t="shared" si="31"/>
        <v>124523</v>
      </c>
      <c r="L649" s="8">
        <f t="shared" si="32"/>
        <v>3066</v>
      </c>
    </row>
    <row r="650" spans="1:12" x14ac:dyDescent="0.3">
      <c r="A650" s="8" t="s">
        <v>682</v>
      </c>
      <c r="B650" s="9">
        <v>45575</v>
      </c>
      <c r="C650" s="8" t="s">
        <v>23</v>
      </c>
      <c r="D650" s="8" t="s">
        <v>17</v>
      </c>
      <c r="E650" s="8" t="s">
        <v>14</v>
      </c>
      <c r="F650" s="8" t="s">
        <v>22</v>
      </c>
      <c r="G650" s="7">
        <v>8</v>
      </c>
      <c r="H650" s="7">
        <v>28386</v>
      </c>
      <c r="I650" s="7">
        <v>36029</v>
      </c>
      <c r="J650" s="7">
        <f t="shared" si="30"/>
        <v>227088</v>
      </c>
      <c r="K650" s="7">
        <f t="shared" si="31"/>
        <v>288232</v>
      </c>
      <c r="L650" s="8">
        <f t="shared" si="32"/>
        <v>61144</v>
      </c>
    </row>
    <row r="651" spans="1:12" x14ac:dyDescent="0.3">
      <c r="A651" s="8" t="s">
        <v>683</v>
      </c>
      <c r="B651" s="9">
        <v>45576</v>
      </c>
      <c r="C651" s="8" t="s">
        <v>26</v>
      </c>
      <c r="D651" s="8" t="s">
        <v>24</v>
      </c>
      <c r="E651" s="8" t="s">
        <v>14</v>
      </c>
      <c r="F651" s="8" t="s">
        <v>22</v>
      </c>
      <c r="G651" s="7">
        <v>5</v>
      </c>
      <c r="H651" s="7">
        <v>30737</v>
      </c>
      <c r="I651" s="7">
        <v>39639</v>
      </c>
      <c r="J651" s="7">
        <f t="shared" si="30"/>
        <v>153685</v>
      </c>
      <c r="K651" s="7">
        <f t="shared" si="31"/>
        <v>198195</v>
      </c>
      <c r="L651" s="8">
        <f t="shared" si="32"/>
        <v>44510</v>
      </c>
    </row>
    <row r="652" spans="1:12" x14ac:dyDescent="0.3">
      <c r="A652" s="8" t="s">
        <v>684</v>
      </c>
      <c r="B652" s="9">
        <v>45577</v>
      </c>
      <c r="C652" s="8" t="s">
        <v>16</v>
      </c>
      <c r="D652" s="8" t="s">
        <v>21</v>
      </c>
      <c r="E652" s="8" t="s">
        <v>18</v>
      </c>
      <c r="F652" s="8" t="s">
        <v>25</v>
      </c>
      <c r="G652" s="7">
        <v>9</v>
      </c>
      <c r="H652" s="7">
        <v>23908</v>
      </c>
      <c r="I652" s="7">
        <v>25435</v>
      </c>
      <c r="J652" s="7">
        <f t="shared" si="30"/>
        <v>215172</v>
      </c>
      <c r="K652" s="7">
        <f t="shared" si="31"/>
        <v>228915</v>
      </c>
      <c r="L652" s="8">
        <f t="shared" si="32"/>
        <v>13743</v>
      </c>
    </row>
    <row r="653" spans="1:12" x14ac:dyDescent="0.3">
      <c r="A653" s="8" t="s">
        <v>685</v>
      </c>
      <c r="B653" s="9">
        <v>45578</v>
      </c>
      <c r="C653" s="8" t="s">
        <v>12</v>
      </c>
      <c r="D653" s="8" t="s">
        <v>29</v>
      </c>
      <c r="E653" s="8" t="s">
        <v>14</v>
      </c>
      <c r="F653" s="8" t="s">
        <v>15</v>
      </c>
      <c r="G653" s="7">
        <v>6</v>
      </c>
      <c r="H653" s="7">
        <v>32460</v>
      </c>
      <c r="I653" s="7">
        <v>42231</v>
      </c>
      <c r="J653" s="7">
        <f t="shared" si="30"/>
        <v>194760</v>
      </c>
      <c r="K653" s="7">
        <f t="shared" si="31"/>
        <v>253386</v>
      </c>
      <c r="L653" s="8">
        <f t="shared" si="32"/>
        <v>58626</v>
      </c>
    </row>
    <row r="654" spans="1:12" x14ac:dyDescent="0.3">
      <c r="A654" s="8" t="s">
        <v>686</v>
      </c>
      <c r="B654" s="9">
        <v>45579</v>
      </c>
      <c r="C654" s="8" t="s">
        <v>23</v>
      </c>
      <c r="D654" s="8" t="s">
        <v>27</v>
      </c>
      <c r="E654" s="8" t="s">
        <v>18</v>
      </c>
      <c r="F654" s="8" t="s">
        <v>25</v>
      </c>
      <c r="G654" s="7">
        <v>7</v>
      </c>
      <c r="H654" s="7">
        <v>22994</v>
      </c>
      <c r="I654" s="7">
        <v>29977</v>
      </c>
      <c r="J654" s="7">
        <f t="shared" si="30"/>
        <v>160958</v>
      </c>
      <c r="K654" s="7">
        <f t="shared" si="31"/>
        <v>209839</v>
      </c>
      <c r="L654" s="8">
        <f t="shared" si="32"/>
        <v>48881</v>
      </c>
    </row>
    <row r="655" spans="1:12" x14ac:dyDescent="0.3">
      <c r="A655" s="8" t="s">
        <v>687</v>
      </c>
      <c r="B655" s="9">
        <v>45580</v>
      </c>
      <c r="C655" s="8" t="s">
        <v>12</v>
      </c>
      <c r="D655" s="8" t="s">
        <v>17</v>
      </c>
      <c r="E655" s="8" t="s">
        <v>18</v>
      </c>
      <c r="F655" s="8" t="s">
        <v>19</v>
      </c>
      <c r="G655" s="7">
        <v>1</v>
      </c>
      <c r="H655" s="7">
        <v>30549</v>
      </c>
      <c r="I655" s="7">
        <v>38349</v>
      </c>
      <c r="J655" s="7">
        <f t="shared" si="30"/>
        <v>30549</v>
      </c>
      <c r="K655" s="7">
        <f t="shared" si="31"/>
        <v>38349</v>
      </c>
      <c r="L655" s="8">
        <f t="shared" si="32"/>
        <v>7800</v>
      </c>
    </row>
    <row r="656" spans="1:12" x14ac:dyDescent="0.3">
      <c r="A656" s="8" t="s">
        <v>688</v>
      </c>
      <c r="B656" s="9">
        <v>45581</v>
      </c>
      <c r="C656" s="8" t="s">
        <v>23</v>
      </c>
      <c r="D656" s="8" t="s">
        <v>21</v>
      </c>
      <c r="E656" s="8" t="s">
        <v>18</v>
      </c>
      <c r="F656" s="8" t="s">
        <v>19</v>
      </c>
      <c r="G656" s="7">
        <v>6</v>
      </c>
      <c r="H656" s="7">
        <v>33430</v>
      </c>
      <c r="I656" s="7">
        <v>37893</v>
      </c>
      <c r="J656" s="7">
        <f t="shared" si="30"/>
        <v>200580</v>
      </c>
      <c r="K656" s="7">
        <f t="shared" si="31"/>
        <v>227358</v>
      </c>
      <c r="L656" s="8">
        <f t="shared" si="32"/>
        <v>26778</v>
      </c>
    </row>
    <row r="657" spans="1:12" x14ac:dyDescent="0.3">
      <c r="A657" s="8" t="s">
        <v>689</v>
      </c>
      <c r="B657" s="9">
        <v>45582</v>
      </c>
      <c r="C657" s="8" t="s">
        <v>26</v>
      </c>
      <c r="D657" s="8" t="s">
        <v>17</v>
      </c>
      <c r="E657" s="8" t="s">
        <v>14</v>
      </c>
      <c r="F657" s="8" t="s">
        <v>22</v>
      </c>
      <c r="G657" s="7">
        <v>5</v>
      </c>
      <c r="H657" s="7">
        <v>35197</v>
      </c>
      <c r="I657" s="7">
        <v>37896</v>
      </c>
      <c r="J657" s="7">
        <f t="shared" si="30"/>
        <v>175985</v>
      </c>
      <c r="K657" s="7">
        <f t="shared" si="31"/>
        <v>189480</v>
      </c>
      <c r="L657" s="8">
        <f t="shared" si="32"/>
        <v>13495</v>
      </c>
    </row>
    <row r="658" spans="1:12" x14ac:dyDescent="0.3">
      <c r="A658" s="8" t="s">
        <v>690</v>
      </c>
      <c r="B658" s="9">
        <v>45583</v>
      </c>
      <c r="C658" s="8" t="s">
        <v>16</v>
      </c>
      <c r="D658" s="8" t="s">
        <v>24</v>
      </c>
      <c r="E658" s="8" t="s">
        <v>14</v>
      </c>
      <c r="F658" s="8" t="s">
        <v>22</v>
      </c>
      <c r="G658" s="7">
        <v>1</v>
      </c>
      <c r="H658" s="7">
        <v>27078</v>
      </c>
      <c r="I658" s="7">
        <v>31452</v>
      </c>
      <c r="J658" s="7">
        <f t="shared" si="30"/>
        <v>27078</v>
      </c>
      <c r="K658" s="7">
        <f t="shared" si="31"/>
        <v>31452</v>
      </c>
      <c r="L658" s="8">
        <f t="shared" si="32"/>
        <v>4374</v>
      </c>
    </row>
    <row r="659" spans="1:12" x14ac:dyDescent="0.3">
      <c r="A659" s="8" t="s">
        <v>691</v>
      </c>
      <c r="B659" s="9">
        <v>45584</v>
      </c>
      <c r="C659" s="8" t="s">
        <v>12</v>
      </c>
      <c r="D659" s="8" t="s">
        <v>29</v>
      </c>
      <c r="E659" s="8" t="s">
        <v>18</v>
      </c>
      <c r="F659" s="8" t="s">
        <v>19</v>
      </c>
      <c r="G659" s="7">
        <v>5</v>
      </c>
      <c r="H659" s="7">
        <v>12205</v>
      </c>
      <c r="I659" s="7">
        <v>17630</v>
      </c>
      <c r="J659" s="7">
        <f t="shared" si="30"/>
        <v>61025</v>
      </c>
      <c r="K659" s="7">
        <f t="shared" si="31"/>
        <v>88150</v>
      </c>
      <c r="L659" s="8">
        <f t="shared" si="32"/>
        <v>27125</v>
      </c>
    </row>
    <row r="660" spans="1:12" x14ac:dyDescent="0.3">
      <c r="A660" s="8" t="s">
        <v>692</v>
      </c>
      <c r="B660" s="9">
        <v>45585</v>
      </c>
      <c r="C660" s="8" t="s">
        <v>26</v>
      </c>
      <c r="D660" s="8" t="s">
        <v>27</v>
      </c>
      <c r="E660" s="8" t="s">
        <v>14</v>
      </c>
      <c r="F660" s="8" t="s">
        <v>20</v>
      </c>
      <c r="G660" s="7">
        <v>4</v>
      </c>
      <c r="H660" s="7">
        <v>3369</v>
      </c>
      <c r="I660" s="7">
        <v>6143</v>
      </c>
      <c r="J660" s="7">
        <f t="shared" si="30"/>
        <v>13476</v>
      </c>
      <c r="K660" s="7">
        <f t="shared" si="31"/>
        <v>24572</v>
      </c>
      <c r="L660" s="8">
        <f t="shared" si="32"/>
        <v>11096</v>
      </c>
    </row>
    <row r="661" spans="1:12" x14ac:dyDescent="0.3">
      <c r="A661" s="8" t="s">
        <v>693</v>
      </c>
      <c r="B661" s="9">
        <v>45586</v>
      </c>
      <c r="C661" s="8" t="s">
        <v>12</v>
      </c>
      <c r="D661" s="8" t="s">
        <v>27</v>
      </c>
      <c r="E661" s="8" t="s">
        <v>14</v>
      </c>
      <c r="F661" s="8" t="s">
        <v>15</v>
      </c>
      <c r="G661" s="7">
        <v>1</v>
      </c>
      <c r="H661" s="7">
        <v>36937</v>
      </c>
      <c r="I661" s="7">
        <v>39506</v>
      </c>
      <c r="J661" s="7">
        <f t="shared" si="30"/>
        <v>36937</v>
      </c>
      <c r="K661" s="7">
        <f t="shared" si="31"/>
        <v>39506</v>
      </c>
      <c r="L661" s="8">
        <f t="shared" si="32"/>
        <v>2569</v>
      </c>
    </row>
    <row r="662" spans="1:12" x14ac:dyDescent="0.3">
      <c r="A662" s="8" t="s">
        <v>694</v>
      </c>
      <c r="B662" s="9">
        <v>45587</v>
      </c>
      <c r="C662" s="8" t="s">
        <v>23</v>
      </c>
      <c r="D662" s="8" t="s">
        <v>29</v>
      </c>
      <c r="E662" s="8" t="s">
        <v>14</v>
      </c>
      <c r="F662" s="8" t="s">
        <v>22</v>
      </c>
      <c r="G662" s="7">
        <v>8</v>
      </c>
      <c r="H662" s="7">
        <v>34805</v>
      </c>
      <c r="I662" s="7">
        <v>41124</v>
      </c>
      <c r="J662" s="7">
        <f t="shared" si="30"/>
        <v>278440</v>
      </c>
      <c r="K662" s="7">
        <f t="shared" si="31"/>
        <v>328992</v>
      </c>
      <c r="L662" s="8">
        <f t="shared" si="32"/>
        <v>50552</v>
      </c>
    </row>
    <row r="663" spans="1:12" x14ac:dyDescent="0.3">
      <c r="A663" s="8" t="s">
        <v>695</v>
      </c>
      <c r="B663" s="9">
        <v>45588</v>
      </c>
      <c r="C663" s="8" t="s">
        <v>16</v>
      </c>
      <c r="D663" s="8" t="s">
        <v>17</v>
      </c>
      <c r="E663" s="8" t="s">
        <v>18</v>
      </c>
      <c r="F663" s="8" t="s">
        <v>19</v>
      </c>
      <c r="G663" s="7">
        <v>1</v>
      </c>
      <c r="H663" s="7">
        <v>30007</v>
      </c>
      <c r="I663" s="7">
        <v>32685</v>
      </c>
      <c r="J663" s="7">
        <f t="shared" si="30"/>
        <v>30007</v>
      </c>
      <c r="K663" s="7">
        <f t="shared" si="31"/>
        <v>32685</v>
      </c>
      <c r="L663" s="8">
        <f t="shared" si="32"/>
        <v>2678</v>
      </c>
    </row>
    <row r="664" spans="1:12" x14ac:dyDescent="0.3">
      <c r="A664" s="8" t="s">
        <v>696</v>
      </c>
      <c r="B664" s="9">
        <v>45589</v>
      </c>
      <c r="C664" s="8" t="s">
        <v>12</v>
      </c>
      <c r="D664" s="8" t="s">
        <v>24</v>
      </c>
      <c r="E664" s="8" t="s">
        <v>14</v>
      </c>
      <c r="F664" s="8" t="s">
        <v>15</v>
      </c>
      <c r="G664" s="7">
        <v>4</v>
      </c>
      <c r="H664" s="7">
        <v>7074</v>
      </c>
      <c r="I664" s="7">
        <v>11049</v>
      </c>
      <c r="J664" s="7">
        <f t="shared" si="30"/>
        <v>28296</v>
      </c>
      <c r="K664" s="7">
        <f t="shared" si="31"/>
        <v>44196</v>
      </c>
      <c r="L664" s="8">
        <f t="shared" si="32"/>
        <v>15900</v>
      </c>
    </row>
    <row r="665" spans="1:12" x14ac:dyDescent="0.3">
      <c r="A665" s="8" t="s">
        <v>697</v>
      </c>
      <c r="B665" s="9">
        <v>45590</v>
      </c>
      <c r="C665" s="8" t="s">
        <v>12</v>
      </c>
      <c r="D665" s="8" t="s">
        <v>21</v>
      </c>
      <c r="E665" s="8" t="s">
        <v>18</v>
      </c>
      <c r="F665" s="8" t="s">
        <v>28</v>
      </c>
      <c r="G665" s="7">
        <v>8</v>
      </c>
      <c r="H665" s="7">
        <v>7081</v>
      </c>
      <c r="I665" s="7">
        <v>12601</v>
      </c>
      <c r="J665" s="7">
        <f t="shared" si="30"/>
        <v>56648</v>
      </c>
      <c r="K665" s="7">
        <f t="shared" si="31"/>
        <v>100808</v>
      </c>
      <c r="L665" s="8">
        <f t="shared" si="32"/>
        <v>44160</v>
      </c>
    </row>
    <row r="666" spans="1:12" x14ac:dyDescent="0.3">
      <c r="A666" s="8" t="s">
        <v>698</v>
      </c>
      <c r="B666" s="9">
        <v>45591</v>
      </c>
      <c r="C666" s="8" t="s">
        <v>26</v>
      </c>
      <c r="D666" s="8" t="s">
        <v>13</v>
      </c>
      <c r="E666" s="8" t="s">
        <v>14</v>
      </c>
      <c r="F666" s="8" t="s">
        <v>22</v>
      </c>
      <c r="G666" s="7">
        <v>2</v>
      </c>
      <c r="H666" s="7">
        <v>11952</v>
      </c>
      <c r="I666" s="7">
        <v>20595</v>
      </c>
      <c r="J666" s="7">
        <f t="shared" si="30"/>
        <v>23904</v>
      </c>
      <c r="K666" s="7">
        <f t="shared" si="31"/>
        <v>41190</v>
      </c>
      <c r="L666" s="8">
        <f t="shared" si="32"/>
        <v>17286</v>
      </c>
    </row>
    <row r="667" spans="1:12" x14ac:dyDescent="0.3">
      <c r="A667" s="8" t="s">
        <v>699</v>
      </c>
      <c r="B667" s="9">
        <v>45592</v>
      </c>
      <c r="C667" s="8" t="s">
        <v>12</v>
      </c>
      <c r="D667" s="8" t="s">
        <v>24</v>
      </c>
      <c r="E667" s="8" t="s">
        <v>14</v>
      </c>
      <c r="F667" s="8" t="s">
        <v>15</v>
      </c>
      <c r="G667" s="7">
        <v>4</v>
      </c>
      <c r="H667" s="7">
        <v>19410</v>
      </c>
      <c r="I667" s="7">
        <v>20626</v>
      </c>
      <c r="J667" s="7">
        <f t="shared" si="30"/>
        <v>77640</v>
      </c>
      <c r="K667" s="7">
        <f t="shared" si="31"/>
        <v>82504</v>
      </c>
      <c r="L667" s="8">
        <f t="shared" si="32"/>
        <v>4864</v>
      </c>
    </row>
    <row r="668" spans="1:12" x14ac:dyDescent="0.3">
      <c r="A668" s="8" t="s">
        <v>700</v>
      </c>
      <c r="B668" s="9">
        <v>45593</v>
      </c>
      <c r="C668" s="8" t="s">
        <v>26</v>
      </c>
      <c r="D668" s="8" t="s">
        <v>27</v>
      </c>
      <c r="E668" s="8" t="s">
        <v>18</v>
      </c>
      <c r="F668" s="8" t="s">
        <v>19</v>
      </c>
      <c r="G668" s="7">
        <v>3</v>
      </c>
      <c r="H668" s="7">
        <v>29187</v>
      </c>
      <c r="I668" s="7">
        <v>32082</v>
      </c>
      <c r="J668" s="7">
        <f t="shared" si="30"/>
        <v>87561</v>
      </c>
      <c r="K668" s="7">
        <f t="shared" si="31"/>
        <v>96246</v>
      </c>
      <c r="L668" s="8">
        <f t="shared" si="32"/>
        <v>8685</v>
      </c>
    </row>
    <row r="669" spans="1:12" x14ac:dyDescent="0.3">
      <c r="A669" s="8" t="s">
        <v>701</v>
      </c>
      <c r="B669" s="9">
        <v>45594</v>
      </c>
      <c r="C669" s="8" t="s">
        <v>12</v>
      </c>
      <c r="D669" s="8" t="s">
        <v>21</v>
      </c>
      <c r="E669" s="8" t="s">
        <v>18</v>
      </c>
      <c r="F669" s="8" t="s">
        <v>19</v>
      </c>
      <c r="G669" s="7">
        <v>10</v>
      </c>
      <c r="H669" s="7">
        <v>19042</v>
      </c>
      <c r="I669" s="7">
        <v>21257</v>
      </c>
      <c r="J669" s="7">
        <f t="shared" si="30"/>
        <v>190420</v>
      </c>
      <c r="K669" s="7">
        <f t="shared" si="31"/>
        <v>212570</v>
      </c>
      <c r="L669" s="8">
        <f t="shared" si="32"/>
        <v>22150</v>
      </c>
    </row>
    <row r="670" spans="1:12" x14ac:dyDescent="0.3">
      <c r="A670" s="8" t="s">
        <v>702</v>
      </c>
      <c r="B670" s="9">
        <v>45595</v>
      </c>
      <c r="C670" s="8" t="s">
        <v>16</v>
      </c>
      <c r="D670" s="8" t="s">
        <v>17</v>
      </c>
      <c r="E670" s="8" t="s">
        <v>14</v>
      </c>
      <c r="F670" s="8" t="s">
        <v>22</v>
      </c>
      <c r="G670" s="7">
        <v>7</v>
      </c>
      <c r="H670" s="7">
        <v>16048</v>
      </c>
      <c r="I670" s="7">
        <v>16326</v>
      </c>
      <c r="J670" s="7">
        <f t="shared" si="30"/>
        <v>112336</v>
      </c>
      <c r="K670" s="7">
        <f t="shared" si="31"/>
        <v>114282</v>
      </c>
      <c r="L670" s="8">
        <f t="shared" si="32"/>
        <v>1946</v>
      </c>
    </row>
    <row r="671" spans="1:12" x14ac:dyDescent="0.3">
      <c r="A671" s="8" t="s">
        <v>703</v>
      </c>
      <c r="B671" s="9">
        <v>45596</v>
      </c>
      <c r="C671" s="8" t="s">
        <v>26</v>
      </c>
      <c r="D671" s="8" t="s">
        <v>13</v>
      </c>
      <c r="E671" s="8" t="s">
        <v>14</v>
      </c>
      <c r="F671" s="8" t="s">
        <v>20</v>
      </c>
      <c r="G671" s="7">
        <v>6</v>
      </c>
      <c r="H671" s="7">
        <v>33812</v>
      </c>
      <c r="I671" s="7">
        <v>43263</v>
      </c>
      <c r="J671" s="7">
        <f t="shared" si="30"/>
        <v>202872</v>
      </c>
      <c r="K671" s="7">
        <f t="shared" si="31"/>
        <v>259578</v>
      </c>
      <c r="L671" s="8">
        <f t="shared" si="32"/>
        <v>56706</v>
      </c>
    </row>
    <row r="672" spans="1:12" x14ac:dyDescent="0.3">
      <c r="A672" s="8" t="s">
        <v>704</v>
      </c>
      <c r="B672" s="9">
        <v>45597</v>
      </c>
      <c r="C672" s="8" t="s">
        <v>23</v>
      </c>
      <c r="D672" s="8" t="s">
        <v>27</v>
      </c>
      <c r="E672" s="8" t="s">
        <v>18</v>
      </c>
      <c r="F672" s="8" t="s">
        <v>25</v>
      </c>
      <c r="G672" s="7">
        <v>10</v>
      </c>
      <c r="H672" s="7">
        <v>11329</v>
      </c>
      <c r="I672" s="7">
        <v>11827</v>
      </c>
      <c r="J672" s="7">
        <f t="shared" si="30"/>
        <v>113290</v>
      </c>
      <c r="K672" s="7">
        <f t="shared" si="31"/>
        <v>118270</v>
      </c>
      <c r="L672" s="8">
        <f t="shared" si="32"/>
        <v>4980</v>
      </c>
    </row>
    <row r="673" spans="1:12" x14ac:dyDescent="0.3">
      <c r="A673" s="8" t="s">
        <v>705</v>
      </c>
      <c r="B673" s="9">
        <v>45598</v>
      </c>
      <c r="C673" s="8" t="s">
        <v>12</v>
      </c>
      <c r="D673" s="8" t="s">
        <v>27</v>
      </c>
      <c r="E673" s="8" t="s">
        <v>14</v>
      </c>
      <c r="F673" s="8" t="s">
        <v>15</v>
      </c>
      <c r="G673" s="7">
        <v>9</v>
      </c>
      <c r="H673" s="7">
        <v>14704</v>
      </c>
      <c r="I673" s="7">
        <v>21844</v>
      </c>
      <c r="J673" s="7">
        <f t="shared" si="30"/>
        <v>132336</v>
      </c>
      <c r="K673" s="7">
        <f t="shared" si="31"/>
        <v>196596</v>
      </c>
      <c r="L673" s="8">
        <f t="shared" si="32"/>
        <v>64260</v>
      </c>
    </row>
    <row r="674" spans="1:12" x14ac:dyDescent="0.3">
      <c r="A674" s="8" t="s">
        <v>706</v>
      </c>
      <c r="B674" s="9">
        <v>45599</v>
      </c>
      <c r="C674" s="8" t="s">
        <v>12</v>
      </c>
      <c r="D674" s="8" t="s">
        <v>13</v>
      </c>
      <c r="E674" s="8" t="s">
        <v>18</v>
      </c>
      <c r="F674" s="8" t="s">
        <v>28</v>
      </c>
      <c r="G674" s="7">
        <v>3</v>
      </c>
      <c r="H674" s="7">
        <v>18202</v>
      </c>
      <c r="I674" s="7">
        <v>22196</v>
      </c>
      <c r="J674" s="7">
        <f t="shared" si="30"/>
        <v>54606</v>
      </c>
      <c r="K674" s="7">
        <f t="shared" si="31"/>
        <v>66588</v>
      </c>
      <c r="L674" s="8">
        <f t="shared" si="32"/>
        <v>11982</v>
      </c>
    </row>
    <row r="675" spans="1:12" x14ac:dyDescent="0.3">
      <c r="A675" s="8" t="s">
        <v>707</v>
      </c>
      <c r="B675" s="9">
        <v>45600</v>
      </c>
      <c r="C675" s="8" t="s">
        <v>26</v>
      </c>
      <c r="D675" s="8" t="s">
        <v>17</v>
      </c>
      <c r="E675" s="8" t="s">
        <v>14</v>
      </c>
      <c r="F675" s="8" t="s">
        <v>20</v>
      </c>
      <c r="G675" s="7">
        <v>10</v>
      </c>
      <c r="H675" s="7">
        <v>7238</v>
      </c>
      <c r="I675" s="7">
        <v>9876</v>
      </c>
      <c r="J675" s="7">
        <f t="shared" si="30"/>
        <v>72380</v>
      </c>
      <c r="K675" s="7">
        <f t="shared" si="31"/>
        <v>98760</v>
      </c>
      <c r="L675" s="8">
        <f t="shared" si="32"/>
        <v>26380</v>
      </c>
    </row>
    <row r="676" spans="1:12" x14ac:dyDescent="0.3">
      <c r="A676" s="8" t="s">
        <v>708</v>
      </c>
      <c r="B676" s="9">
        <v>45601</v>
      </c>
      <c r="C676" s="8" t="s">
        <v>12</v>
      </c>
      <c r="D676" s="8" t="s">
        <v>29</v>
      </c>
      <c r="E676" s="8" t="s">
        <v>18</v>
      </c>
      <c r="F676" s="8" t="s">
        <v>25</v>
      </c>
      <c r="G676" s="7">
        <v>4</v>
      </c>
      <c r="H676" s="7">
        <v>27876</v>
      </c>
      <c r="I676" s="7">
        <v>34141</v>
      </c>
      <c r="J676" s="7">
        <f t="shared" si="30"/>
        <v>111504</v>
      </c>
      <c r="K676" s="7">
        <f t="shared" si="31"/>
        <v>136564</v>
      </c>
      <c r="L676" s="8">
        <f t="shared" si="32"/>
        <v>25060</v>
      </c>
    </row>
    <row r="677" spans="1:12" x14ac:dyDescent="0.3">
      <c r="A677" s="8" t="s">
        <v>709</v>
      </c>
      <c r="B677" s="9">
        <v>45602</v>
      </c>
      <c r="C677" s="8" t="s">
        <v>16</v>
      </c>
      <c r="D677" s="8" t="s">
        <v>27</v>
      </c>
      <c r="E677" s="8" t="s">
        <v>18</v>
      </c>
      <c r="F677" s="8" t="s">
        <v>28</v>
      </c>
      <c r="G677" s="7">
        <v>3</v>
      </c>
      <c r="H677" s="7">
        <v>36655</v>
      </c>
      <c r="I677" s="7">
        <v>37015</v>
      </c>
      <c r="J677" s="7">
        <f t="shared" si="30"/>
        <v>109965</v>
      </c>
      <c r="K677" s="7">
        <f t="shared" si="31"/>
        <v>111045</v>
      </c>
      <c r="L677" s="8">
        <f t="shared" si="32"/>
        <v>1080</v>
      </c>
    </row>
    <row r="678" spans="1:12" x14ac:dyDescent="0.3">
      <c r="A678" s="8" t="s">
        <v>710</v>
      </c>
      <c r="B678" s="9">
        <v>45603</v>
      </c>
      <c r="C678" s="8" t="s">
        <v>12</v>
      </c>
      <c r="D678" s="8" t="s">
        <v>24</v>
      </c>
      <c r="E678" s="8" t="s">
        <v>18</v>
      </c>
      <c r="F678" s="8" t="s">
        <v>25</v>
      </c>
      <c r="G678" s="7">
        <v>5</v>
      </c>
      <c r="H678" s="7">
        <v>21165</v>
      </c>
      <c r="I678" s="7">
        <v>22995</v>
      </c>
      <c r="J678" s="7">
        <f t="shared" si="30"/>
        <v>105825</v>
      </c>
      <c r="K678" s="7">
        <f t="shared" si="31"/>
        <v>114975</v>
      </c>
      <c r="L678" s="8">
        <f t="shared" si="32"/>
        <v>9150</v>
      </c>
    </row>
    <row r="679" spans="1:12" x14ac:dyDescent="0.3">
      <c r="A679" s="8" t="s">
        <v>711</v>
      </c>
      <c r="B679" s="9">
        <v>45604</v>
      </c>
      <c r="C679" s="8" t="s">
        <v>16</v>
      </c>
      <c r="D679" s="8" t="s">
        <v>27</v>
      </c>
      <c r="E679" s="8" t="s">
        <v>18</v>
      </c>
      <c r="F679" s="8" t="s">
        <v>19</v>
      </c>
      <c r="G679" s="7">
        <v>7</v>
      </c>
      <c r="H679" s="7">
        <v>7948</v>
      </c>
      <c r="I679" s="7">
        <v>11686</v>
      </c>
      <c r="J679" s="7">
        <f t="shared" si="30"/>
        <v>55636</v>
      </c>
      <c r="K679" s="7">
        <f t="shared" si="31"/>
        <v>81802</v>
      </c>
      <c r="L679" s="8">
        <f t="shared" si="32"/>
        <v>26166</v>
      </c>
    </row>
    <row r="680" spans="1:12" x14ac:dyDescent="0.3">
      <c r="A680" s="8" t="s">
        <v>712</v>
      </c>
      <c r="B680" s="9">
        <v>45605</v>
      </c>
      <c r="C680" s="8" t="s">
        <v>12</v>
      </c>
      <c r="D680" s="8" t="s">
        <v>17</v>
      </c>
      <c r="E680" s="8" t="s">
        <v>14</v>
      </c>
      <c r="F680" s="8" t="s">
        <v>22</v>
      </c>
      <c r="G680" s="7">
        <v>5</v>
      </c>
      <c r="H680" s="7">
        <v>12571</v>
      </c>
      <c r="I680" s="7">
        <v>20774</v>
      </c>
      <c r="J680" s="7">
        <f t="shared" si="30"/>
        <v>62855</v>
      </c>
      <c r="K680" s="7">
        <f t="shared" si="31"/>
        <v>103870</v>
      </c>
      <c r="L680" s="8">
        <f t="shared" si="32"/>
        <v>41015</v>
      </c>
    </row>
    <row r="681" spans="1:12" x14ac:dyDescent="0.3">
      <c r="A681" s="8" t="s">
        <v>713</v>
      </c>
      <c r="B681" s="9">
        <v>45606</v>
      </c>
      <c r="C681" s="8" t="s">
        <v>23</v>
      </c>
      <c r="D681" s="8" t="s">
        <v>24</v>
      </c>
      <c r="E681" s="8" t="s">
        <v>18</v>
      </c>
      <c r="F681" s="8" t="s">
        <v>19</v>
      </c>
      <c r="G681" s="7">
        <v>7</v>
      </c>
      <c r="H681" s="7">
        <v>11880</v>
      </c>
      <c r="I681" s="7">
        <v>12597</v>
      </c>
      <c r="J681" s="7">
        <f t="shared" si="30"/>
        <v>83160</v>
      </c>
      <c r="K681" s="7">
        <f t="shared" si="31"/>
        <v>88179</v>
      </c>
      <c r="L681" s="8">
        <f t="shared" si="32"/>
        <v>5019</v>
      </c>
    </row>
    <row r="682" spans="1:12" x14ac:dyDescent="0.3">
      <c r="A682" s="8" t="s">
        <v>714</v>
      </c>
      <c r="B682" s="9">
        <v>45607</v>
      </c>
      <c r="C682" s="8" t="s">
        <v>16</v>
      </c>
      <c r="D682" s="8" t="s">
        <v>27</v>
      </c>
      <c r="E682" s="8" t="s">
        <v>18</v>
      </c>
      <c r="F682" s="8" t="s">
        <v>25</v>
      </c>
      <c r="G682" s="7">
        <v>4</v>
      </c>
      <c r="H682" s="7">
        <v>14808</v>
      </c>
      <c r="I682" s="7">
        <v>23237</v>
      </c>
      <c r="J682" s="7">
        <f t="shared" si="30"/>
        <v>59232</v>
      </c>
      <c r="K682" s="7">
        <f t="shared" si="31"/>
        <v>92948</v>
      </c>
      <c r="L682" s="8">
        <f t="shared" si="32"/>
        <v>33716</v>
      </c>
    </row>
    <row r="683" spans="1:12" x14ac:dyDescent="0.3">
      <c r="A683" s="8" t="s">
        <v>715</v>
      </c>
      <c r="B683" s="9">
        <v>45608</v>
      </c>
      <c r="C683" s="8" t="s">
        <v>12</v>
      </c>
      <c r="D683" s="8" t="s">
        <v>29</v>
      </c>
      <c r="E683" s="8" t="s">
        <v>14</v>
      </c>
      <c r="F683" s="8" t="s">
        <v>20</v>
      </c>
      <c r="G683" s="7">
        <v>9</v>
      </c>
      <c r="H683" s="7">
        <v>14728</v>
      </c>
      <c r="I683" s="7">
        <v>19569</v>
      </c>
      <c r="J683" s="7">
        <f t="shared" si="30"/>
        <v>132552</v>
      </c>
      <c r="K683" s="7">
        <f t="shared" si="31"/>
        <v>176121</v>
      </c>
      <c r="L683" s="8">
        <f t="shared" si="32"/>
        <v>43569</v>
      </c>
    </row>
    <row r="684" spans="1:12" x14ac:dyDescent="0.3">
      <c r="A684" s="8" t="s">
        <v>716</v>
      </c>
      <c r="B684" s="9">
        <v>45609</v>
      </c>
      <c r="C684" s="8" t="s">
        <v>26</v>
      </c>
      <c r="D684" s="8" t="s">
        <v>29</v>
      </c>
      <c r="E684" s="8" t="s">
        <v>18</v>
      </c>
      <c r="F684" s="8" t="s">
        <v>28</v>
      </c>
      <c r="G684" s="7">
        <v>10</v>
      </c>
      <c r="H684" s="7">
        <v>21577</v>
      </c>
      <c r="I684" s="7">
        <v>24858</v>
      </c>
      <c r="J684" s="7">
        <f t="shared" si="30"/>
        <v>215770</v>
      </c>
      <c r="K684" s="7">
        <f t="shared" si="31"/>
        <v>248580</v>
      </c>
      <c r="L684" s="8">
        <f t="shared" si="32"/>
        <v>32810</v>
      </c>
    </row>
    <row r="685" spans="1:12" x14ac:dyDescent="0.3">
      <c r="A685" s="8" t="s">
        <v>717</v>
      </c>
      <c r="B685" s="9">
        <v>45610</v>
      </c>
      <c r="C685" s="8" t="s">
        <v>26</v>
      </c>
      <c r="D685" s="8" t="s">
        <v>21</v>
      </c>
      <c r="E685" s="8" t="s">
        <v>14</v>
      </c>
      <c r="F685" s="8" t="s">
        <v>22</v>
      </c>
      <c r="G685" s="7">
        <v>1</v>
      </c>
      <c r="H685" s="7">
        <v>20680</v>
      </c>
      <c r="I685" s="7">
        <v>24395</v>
      </c>
      <c r="J685" s="7">
        <f t="shared" si="30"/>
        <v>20680</v>
      </c>
      <c r="K685" s="7">
        <f t="shared" si="31"/>
        <v>24395</v>
      </c>
      <c r="L685" s="8">
        <f t="shared" si="32"/>
        <v>3715</v>
      </c>
    </row>
    <row r="686" spans="1:12" x14ac:dyDescent="0.3">
      <c r="A686" s="8" t="s">
        <v>718</v>
      </c>
      <c r="B686" s="9">
        <v>45611</v>
      </c>
      <c r="C686" s="8" t="s">
        <v>26</v>
      </c>
      <c r="D686" s="8" t="s">
        <v>21</v>
      </c>
      <c r="E686" s="8" t="s">
        <v>18</v>
      </c>
      <c r="F686" s="8" t="s">
        <v>19</v>
      </c>
      <c r="G686" s="7">
        <v>4</v>
      </c>
      <c r="H686" s="7">
        <v>2704</v>
      </c>
      <c r="I686" s="7">
        <v>3473</v>
      </c>
      <c r="J686" s="7">
        <f t="shared" si="30"/>
        <v>10816</v>
      </c>
      <c r="K686" s="7">
        <f t="shared" si="31"/>
        <v>13892</v>
      </c>
      <c r="L686" s="8">
        <f t="shared" si="32"/>
        <v>3076</v>
      </c>
    </row>
    <row r="687" spans="1:12" x14ac:dyDescent="0.3">
      <c r="A687" s="8" t="s">
        <v>719</v>
      </c>
      <c r="B687" s="9">
        <v>45612</v>
      </c>
      <c r="C687" s="8" t="s">
        <v>26</v>
      </c>
      <c r="D687" s="8" t="s">
        <v>21</v>
      </c>
      <c r="E687" s="8" t="s">
        <v>18</v>
      </c>
      <c r="F687" s="8" t="s">
        <v>28</v>
      </c>
      <c r="G687" s="7">
        <v>4</v>
      </c>
      <c r="H687" s="7">
        <v>6904</v>
      </c>
      <c r="I687" s="7">
        <v>9856</v>
      </c>
      <c r="J687" s="7">
        <f t="shared" si="30"/>
        <v>27616</v>
      </c>
      <c r="K687" s="7">
        <f t="shared" si="31"/>
        <v>39424</v>
      </c>
      <c r="L687" s="8">
        <f t="shared" si="32"/>
        <v>11808</v>
      </c>
    </row>
    <row r="688" spans="1:12" x14ac:dyDescent="0.3">
      <c r="A688" s="8" t="s">
        <v>720</v>
      </c>
      <c r="B688" s="9">
        <v>45613</v>
      </c>
      <c r="C688" s="8" t="s">
        <v>12</v>
      </c>
      <c r="D688" s="8" t="s">
        <v>29</v>
      </c>
      <c r="E688" s="8" t="s">
        <v>18</v>
      </c>
      <c r="F688" s="8" t="s">
        <v>28</v>
      </c>
      <c r="G688" s="7">
        <v>6</v>
      </c>
      <c r="H688" s="7">
        <v>30008</v>
      </c>
      <c r="I688" s="7">
        <v>35165</v>
      </c>
      <c r="J688" s="7">
        <f t="shared" si="30"/>
        <v>180048</v>
      </c>
      <c r="K688" s="7">
        <f t="shared" si="31"/>
        <v>210990</v>
      </c>
      <c r="L688" s="8">
        <f t="shared" si="32"/>
        <v>30942</v>
      </c>
    </row>
    <row r="689" spans="1:12" x14ac:dyDescent="0.3">
      <c r="A689" s="8" t="s">
        <v>721</v>
      </c>
      <c r="B689" s="9">
        <v>45614</v>
      </c>
      <c r="C689" s="8" t="s">
        <v>12</v>
      </c>
      <c r="D689" s="8" t="s">
        <v>29</v>
      </c>
      <c r="E689" s="8" t="s">
        <v>14</v>
      </c>
      <c r="F689" s="8" t="s">
        <v>22</v>
      </c>
      <c r="G689" s="7">
        <v>1</v>
      </c>
      <c r="H689" s="7">
        <v>17893</v>
      </c>
      <c r="I689" s="7">
        <v>20233</v>
      </c>
      <c r="J689" s="7">
        <f t="shared" si="30"/>
        <v>17893</v>
      </c>
      <c r="K689" s="7">
        <f t="shared" si="31"/>
        <v>20233</v>
      </c>
      <c r="L689" s="8">
        <f t="shared" si="32"/>
        <v>2340</v>
      </c>
    </row>
    <row r="690" spans="1:12" x14ac:dyDescent="0.3">
      <c r="A690" s="8" t="s">
        <v>722</v>
      </c>
      <c r="B690" s="9">
        <v>45615</v>
      </c>
      <c r="C690" s="8" t="s">
        <v>26</v>
      </c>
      <c r="D690" s="8" t="s">
        <v>13</v>
      </c>
      <c r="E690" s="8" t="s">
        <v>14</v>
      </c>
      <c r="F690" s="8" t="s">
        <v>20</v>
      </c>
      <c r="G690" s="7">
        <v>1</v>
      </c>
      <c r="H690" s="7">
        <v>39831</v>
      </c>
      <c r="I690" s="7">
        <v>40281</v>
      </c>
      <c r="J690" s="7">
        <f t="shared" si="30"/>
        <v>39831</v>
      </c>
      <c r="K690" s="7">
        <f t="shared" si="31"/>
        <v>40281</v>
      </c>
      <c r="L690" s="8">
        <f t="shared" si="32"/>
        <v>450</v>
      </c>
    </row>
    <row r="691" spans="1:12" x14ac:dyDescent="0.3">
      <c r="A691" s="8" t="s">
        <v>723</v>
      </c>
      <c r="B691" s="9">
        <v>45616</v>
      </c>
      <c r="C691" s="8" t="s">
        <v>23</v>
      </c>
      <c r="D691" s="8" t="s">
        <v>21</v>
      </c>
      <c r="E691" s="8" t="s">
        <v>18</v>
      </c>
      <c r="F691" s="8" t="s">
        <v>19</v>
      </c>
      <c r="G691" s="7">
        <v>9</v>
      </c>
      <c r="H691" s="7">
        <v>12809</v>
      </c>
      <c r="I691" s="7">
        <v>14722</v>
      </c>
      <c r="J691" s="7">
        <f t="shared" si="30"/>
        <v>115281</v>
      </c>
      <c r="K691" s="7">
        <f t="shared" si="31"/>
        <v>132498</v>
      </c>
      <c r="L691" s="8">
        <f t="shared" si="32"/>
        <v>17217</v>
      </c>
    </row>
    <row r="692" spans="1:12" x14ac:dyDescent="0.3">
      <c r="A692" s="8" t="s">
        <v>724</v>
      </c>
      <c r="B692" s="9">
        <v>45617</v>
      </c>
      <c r="C692" s="8" t="s">
        <v>12</v>
      </c>
      <c r="D692" s="8" t="s">
        <v>21</v>
      </c>
      <c r="E692" s="8" t="s">
        <v>18</v>
      </c>
      <c r="F692" s="8" t="s">
        <v>25</v>
      </c>
      <c r="G692" s="7">
        <v>3</v>
      </c>
      <c r="H692" s="7">
        <v>27763</v>
      </c>
      <c r="I692" s="7">
        <v>31969</v>
      </c>
      <c r="J692" s="7">
        <f t="shared" si="30"/>
        <v>83289</v>
      </c>
      <c r="K692" s="7">
        <f t="shared" si="31"/>
        <v>95907</v>
      </c>
      <c r="L692" s="8">
        <f t="shared" si="32"/>
        <v>12618</v>
      </c>
    </row>
    <row r="693" spans="1:12" x14ac:dyDescent="0.3">
      <c r="A693" s="8" t="s">
        <v>725</v>
      </c>
      <c r="B693" s="9">
        <v>45618</v>
      </c>
      <c r="C693" s="8" t="s">
        <v>23</v>
      </c>
      <c r="D693" s="8" t="s">
        <v>27</v>
      </c>
      <c r="E693" s="8" t="s">
        <v>18</v>
      </c>
      <c r="F693" s="8" t="s">
        <v>28</v>
      </c>
      <c r="G693" s="7">
        <v>7</v>
      </c>
      <c r="H693" s="7">
        <v>28576</v>
      </c>
      <c r="I693" s="7">
        <v>33522</v>
      </c>
      <c r="J693" s="7">
        <f t="shared" si="30"/>
        <v>200032</v>
      </c>
      <c r="K693" s="7">
        <f t="shared" si="31"/>
        <v>234654</v>
      </c>
      <c r="L693" s="8">
        <f t="shared" si="32"/>
        <v>34622</v>
      </c>
    </row>
    <row r="694" spans="1:12" x14ac:dyDescent="0.3">
      <c r="A694" s="8" t="s">
        <v>726</v>
      </c>
      <c r="B694" s="9">
        <v>45619</v>
      </c>
      <c r="C694" s="8" t="s">
        <v>16</v>
      </c>
      <c r="D694" s="8" t="s">
        <v>29</v>
      </c>
      <c r="E694" s="8" t="s">
        <v>18</v>
      </c>
      <c r="F694" s="8" t="s">
        <v>25</v>
      </c>
      <c r="G694" s="7">
        <v>2</v>
      </c>
      <c r="H694" s="7">
        <v>1097</v>
      </c>
      <c r="I694" s="7">
        <v>1409</v>
      </c>
      <c r="J694" s="7">
        <f t="shared" si="30"/>
        <v>2194</v>
      </c>
      <c r="K694" s="7">
        <f t="shared" si="31"/>
        <v>2818</v>
      </c>
      <c r="L694" s="8">
        <f t="shared" si="32"/>
        <v>624</v>
      </c>
    </row>
    <row r="695" spans="1:12" x14ac:dyDescent="0.3">
      <c r="A695" s="8" t="s">
        <v>727</v>
      </c>
      <c r="B695" s="9">
        <v>45620</v>
      </c>
      <c r="C695" s="8" t="s">
        <v>26</v>
      </c>
      <c r="D695" s="8" t="s">
        <v>21</v>
      </c>
      <c r="E695" s="8" t="s">
        <v>18</v>
      </c>
      <c r="F695" s="8" t="s">
        <v>19</v>
      </c>
      <c r="G695" s="7">
        <v>2</v>
      </c>
      <c r="H695" s="7">
        <v>2084</v>
      </c>
      <c r="I695" s="7">
        <v>6054</v>
      </c>
      <c r="J695" s="7">
        <f t="shared" si="30"/>
        <v>4168</v>
      </c>
      <c r="K695" s="7">
        <f t="shared" si="31"/>
        <v>12108</v>
      </c>
      <c r="L695" s="8">
        <f t="shared" si="32"/>
        <v>7940</v>
      </c>
    </row>
    <row r="696" spans="1:12" x14ac:dyDescent="0.3">
      <c r="A696" s="8" t="s">
        <v>728</v>
      </c>
      <c r="B696" s="9">
        <v>45621</v>
      </c>
      <c r="C696" s="8" t="s">
        <v>16</v>
      </c>
      <c r="D696" s="8" t="s">
        <v>29</v>
      </c>
      <c r="E696" s="8" t="s">
        <v>14</v>
      </c>
      <c r="F696" s="8" t="s">
        <v>22</v>
      </c>
      <c r="G696" s="7">
        <v>7</v>
      </c>
      <c r="H696" s="7">
        <v>28168</v>
      </c>
      <c r="I696" s="7">
        <v>35566</v>
      </c>
      <c r="J696" s="7">
        <f t="shared" si="30"/>
        <v>197176</v>
      </c>
      <c r="K696" s="7">
        <f t="shared" si="31"/>
        <v>248962</v>
      </c>
      <c r="L696" s="8">
        <f t="shared" si="32"/>
        <v>51786</v>
      </c>
    </row>
    <row r="697" spans="1:12" x14ac:dyDescent="0.3">
      <c r="A697" s="8" t="s">
        <v>729</v>
      </c>
      <c r="B697" s="9">
        <v>45622</v>
      </c>
      <c r="C697" s="8" t="s">
        <v>26</v>
      </c>
      <c r="D697" s="8" t="s">
        <v>29</v>
      </c>
      <c r="E697" s="8" t="s">
        <v>18</v>
      </c>
      <c r="F697" s="8" t="s">
        <v>19</v>
      </c>
      <c r="G697" s="7">
        <v>6</v>
      </c>
      <c r="H697" s="7">
        <v>26880</v>
      </c>
      <c r="I697" s="7">
        <v>27786</v>
      </c>
      <c r="J697" s="7">
        <f t="shared" si="30"/>
        <v>161280</v>
      </c>
      <c r="K697" s="7">
        <f t="shared" si="31"/>
        <v>166716</v>
      </c>
      <c r="L697" s="8">
        <f t="shared" si="32"/>
        <v>5436</v>
      </c>
    </row>
    <row r="698" spans="1:12" x14ac:dyDescent="0.3">
      <c r="A698" s="8" t="s">
        <v>730</v>
      </c>
      <c r="B698" s="9">
        <v>45623</v>
      </c>
      <c r="C698" s="8" t="s">
        <v>16</v>
      </c>
      <c r="D698" s="8" t="s">
        <v>27</v>
      </c>
      <c r="E698" s="8" t="s">
        <v>14</v>
      </c>
      <c r="F698" s="8" t="s">
        <v>20</v>
      </c>
      <c r="G698" s="7">
        <v>6</v>
      </c>
      <c r="H698" s="7">
        <v>19539</v>
      </c>
      <c r="I698" s="7">
        <v>25185</v>
      </c>
      <c r="J698" s="7">
        <f t="shared" si="30"/>
        <v>117234</v>
      </c>
      <c r="K698" s="7">
        <f t="shared" si="31"/>
        <v>151110</v>
      </c>
      <c r="L698" s="8">
        <f t="shared" si="32"/>
        <v>33876</v>
      </c>
    </row>
    <row r="699" spans="1:12" x14ac:dyDescent="0.3">
      <c r="A699" s="8" t="s">
        <v>731</v>
      </c>
      <c r="B699" s="9">
        <v>45624</v>
      </c>
      <c r="C699" s="8" t="s">
        <v>12</v>
      </c>
      <c r="D699" s="8" t="s">
        <v>29</v>
      </c>
      <c r="E699" s="8" t="s">
        <v>14</v>
      </c>
      <c r="F699" s="8" t="s">
        <v>20</v>
      </c>
      <c r="G699" s="7">
        <v>7</v>
      </c>
      <c r="H699" s="7">
        <v>14245</v>
      </c>
      <c r="I699" s="7">
        <v>23063</v>
      </c>
      <c r="J699" s="7">
        <f t="shared" si="30"/>
        <v>99715</v>
      </c>
      <c r="K699" s="7">
        <f t="shared" si="31"/>
        <v>161441</v>
      </c>
      <c r="L699" s="8">
        <f t="shared" si="32"/>
        <v>61726</v>
      </c>
    </row>
    <row r="700" spans="1:12" x14ac:dyDescent="0.3">
      <c r="A700" s="8" t="s">
        <v>732</v>
      </c>
      <c r="B700" s="9">
        <v>45625</v>
      </c>
      <c r="C700" s="8" t="s">
        <v>26</v>
      </c>
      <c r="D700" s="8" t="s">
        <v>13</v>
      </c>
      <c r="E700" s="8" t="s">
        <v>18</v>
      </c>
      <c r="F700" s="8" t="s">
        <v>25</v>
      </c>
      <c r="G700" s="7">
        <v>8</v>
      </c>
      <c r="H700" s="7">
        <v>23772</v>
      </c>
      <c r="I700" s="7">
        <v>30025</v>
      </c>
      <c r="J700" s="7">
        <f t="shared" si="30"/>
        <v>190176</v>
      </c>
      <c r="K700" s="7">
        <f t="shared" si="31"/>
        <v>240200</v>
      </c>
      <c r="L700" s="8">
        <f t="shared" si="32"/>
        <v>50024</v>
      </c>
    </row>
    <row r="701" spans="1:12" x14ac:dyDescent="0.3">
      <c r="A701" s="8" t="s">
        <v>733</v>
      </c>
      <c r="B701" s="9">
        <v>45626</v>
      </c>
      <c r="C701" s="8" t="s">
        <v>26</v>
      </c>
      <c r="D701" s="8" t="s">
        <v>24</v>
      </c>
      <c r="E701" s="8" t="s">
        <v>18</v>
      </c>
      <c r="F701" s="8" t="s">
        <v>28</v>
      </c>
      <c r="G701" s="7">
        <v>8</v>
      </c>
      <c r="H701" s="7">
        <v>31735</v>
      </c>
      <c r="I701" s="7">
        <v>38965</v>
      </c>
      <c r="J701" s="7">
        <f t="shared" si="30"/>
        <v>253880</v>
      </c>
      <c r="K701" s="7">
        <f t="shared" si="31"/>
        <v>311720</v>
      </c>
      <c r="L701" s="8">
        <f t="shared" si="32"/>
        <v>57840</v>
      </c>
    </row>
    <row r="702" spans="1:12" x14ac:dyDescent="0.3">
      <c r="A702" s="8" t="s">
        <v>734</v>
      </c>
      <c r="B702" s="9">
        <v>45627</v>
      </c>
      <c r="C702" s="8" t="s">
        <v>26</v>
      </c>
      <c r="D702" s="8" t="s">
        <v>27</v>
      </c>
      <c r="E702" s="8" t="s">
        <v>14</v>
      </c>
      <c r="F702" s="8" t="s">
        <v>22</v>
      </c>
      <c r="G702" s="7">
        <v>8</v>
      </c>
      <c r="H702" s="7">
        <v>18190</v>
      </c>
      <c r="I702" s="7">
        <v>27524</v>
      </c>
      <c r="J702" s="7">
        <f t="shared" si="30"/>
        <v>145520</v>
      </c>
      <c r="K702" s="7">
        <f t="shared" si="31"/>
        <v>220192</v>
      </c>
      <c r="L702" s="8">
        <f t="shared" si="32"/>
        <v>74672</v>
      </c>
    </row>
    <row r="703" spans="1:12" x14ac:dyDescent="0.3">
      <c r="A703" s="8" t="s">
        <v>735</v>
      </c>
      <c r="B703" s="9">
        <v>45628</v>
      </c>
      <c r="C703" s="8" t="s">
        <v>23</v>
      </c>
      <c r="D703" s="8" t="s">
        <v>27</v>
      </c>
      <c r="E703" s="8" t="s">
        <v>14</v>
      </c>
      <c r="F703" s="8" t="s">
        <v>15</v>
      </c>
      <c r="G703" s="7">
        <v>8</v>
      </c>
      <c r="H703" s="7">
        <v>23890</v>
      </c>
      <c r="I703" s="7">
        <v>25127</v>
      </c>
      <c r="J703" s="7">
        <f t="shared" si="30"/>
        <v>191120</v>
      </c>
      <c r="K703" s="7">
        <f t="shared" si="31"/>
        <v>201016</v>
      </c>
      <c r="L703" s="8">
        <f t="shared" si="32"/>
        <v>9896</v>
      </c>
    </row>
    <row r="704" spans="1:12" x14ac:dyDescent="0.3">
      <c r="A704" s="8" t="s">
        <v>736</v>
      </c>
      <c r="B704" s="9">
        <v>45629</v>
      </c>
      <c r="C704" s="8" t="s">
        <v>12</v>
      </c>
      <c r="D704" s="8" t="s">
        <v>13</v>
      </c>
      <c r="E704" s="8" t="s">
        <v>18</v>
      </c>
      <c r="F704" s="8" t="s">
        <v>28</v>
      </c>
      <c r="G704" s="7">
        <v>2</v>
      </c>
      <c r="H704" s="7">
        <v>21937</v>
      </c>
      <c r="I704" s="7">
        <v>27167</v>
      </c>
      <c r="J704" s="7">
        <f t="shared" si="30"/>
        <v>43874</v>
      </c>
      <c r="K704" s="7">
        <f t="shared" si="31"/>
        <v>54334</v>
      </c>
      <c r="L704" s="8">
        <f t="shared" si="32"/>
        <v>10460</v>
      </c>
    </row>
    <row r="705" spans="1:12" x14ac:dyDescent="0.3">
      <c r="A705" s="8" t="s">
        <v>737</v>
      </c>
      <c r="B705" s="9">
        <v>45630</v>
      </c>
      <c r="C705" s="8" t="s">
        <v>23</v>
      </c>
      <c r="D705" s="8" t="s">
        <v>24</v>
      </c>
      <c r="E705" s="8" t="s">
        <v>14</v>
      </c>
      <c r="F705" s="8" t="s">
        <v>20</v>
      </c>
      <c r="G705" s="7">
        <v>6</v>
      </c>
      <c r="H705" s="7">
        <v>10480</v>
      </c>
      <c r="I705" s="7">
        <v>14377</v>
      </c>
      <c r="J705" s="7">
        <f t="shared" si="30"/>
        <v>62880</v>
      </c>
      <c r="K705" s="7">
        <f t="shared" si="31"/>
        <v>86262</v>
      </c>
      <c r="L705" s="8">
        <f t="shared" si="32"/>
        <v>23382</v>
      </c>
    </row>
    <row r="706" spans="1:12" x14ac:dyDescent="0.3">
      <c r="A706" s="8" t="s">
        <v>738</v>
      </c>
      <c r="B706" s="9">
        <v>45631</v>
      </c>
      <c r="C706" s="8" t="s">
        <v>26</v>
      </c>
      <c r="D706" s="8" t="s">
        <v>21</v>
      </c>
      <c r="E706" s="8" t="s">
        <v>14</v>
      </c>
      <c r="F706" s="8" t="s">
        <v>15</v>
      </c>
      <c r="G706" s="7">
        <v>5</v>
      </c>
      <c r="H706" s="7">
        <v>33063</v>
      </c>
      <c r="I706" s="7">
        <v>34834</v>
      </c>
      <c r="J706" s="7">
        <f t="shared" si="30"/>
        <v>165315</v>
      </c>
      <c r="K706" s="7">
        <f t="shared" si="31"/>
        <v>174170</v>
      </c>
      <c r="L706" s="8">
        <f t="shared" si="32"/>
        <v>8855</v>
      </c>
    </row>
    <row r="707" spans="1:12" x14ac:dyDescent="0.3">
      <c r="A707" s="8" t="s">
        <v>739</v>
      </c>
      <c r="B707" s="9">
        <v>45632</v>
      </c>
      <c r="C707" s="8" t="s">
        <v>23</v>
      </c>
      <c r="D707" s="8" t="s">
        <v>17</v>
      </c>
      <c r="E707" s="8" t="s">
        <v>14</v>
      </c>
      <c r="F707" s="8" t="s">
        <v>20</v>
      </c>
      <c r="G707" s="7">
        <v>8</v>
      </c>
      <c r="H707" s="7">
        <v>24874</v>
      </c>
      <c r="I707" s="7">
        <v>34652</v>
      </c>
      <c r="J707" s="7">
        <f t="shared" ref="J707:J770" si="33">G707*H707</f>
        <v>198992</v>
      </c>
      <c r="K707" s="7">
        <f t="shared" ref="K707:K770" si="34">G707*I707</f>
        <v>277216</v>
      </c>
      <c r="L707" s="8">
        <f t="shared" ref="L707:L770" si="35">(I707-H707)*G707</f>
        <v>78224</v>
      </c>
    </row>
    <row r="708" spans="1:12" x14ac:dyDescent="0.3">
      <c r="A708" s="8" t="s">
        <v>740</v>
      </c>
      <c r="B708" s="9">
        <v>45633</v>
      </c>
      <c r="C708" s="8" t="s">
        <v>12</v>
      </c>
      <c r="D708" s="8" t="s">
        <v>24</v>
      </c>
      <c r="E708" s="8" t="s">
        <v>14</v>
      </c>
      <c r="F708" s="8" t="s">
        <v>22</v>
      </c>
      <c r="G708" s="7">
        <v>5</v>
      </c>
      <c r="H708" s="7">
        <v>38985</v>
      </c>
      <c r="I708" s="7">
        <v>46351</v>
      </c>
      <c r="J708" s="7">
        <f t="shared" si="33"/>
        <v>194925</v>
      </c>
      <c r="K708" s="7">
        <f t="shared" si="34"/>
        <v>231755</v>
      </c>
      <c r="L708" s="8">
        <f t="shared" si="35"/>
        <v>36830</v>
      </c>
    </row>
    <row r="709" spans="1:12" x14ac:dyDescent="0.3">
      <c r="A709" s="8" t="s">
        <v>741</v>
      </c>
      <c r="B709" s="9">
        <v>45634</v>
      </c>
      <c r="C709" s="8" t="s">
        <v>26</v>
      </c>
      <c r="D709" s="8" t="s">
        <v>13</v>
      </c>
      <c r="E709" s="8" t="s">
        <v>14</v>
      </c>
      <c r="F709" s="8" t="s">
        <v>22</v>
      </c>
      <c r="G709" s="7">
        <v>3</v>
      </c>
      <c r="H709" s="7">
        <v>11093</v>
      </c>
      <c r="I709" s="7">
        <v>19996</v>
      </c>
      <c r="J709" s="7">
        <f t="shared" si="33"/>
        <v>33279</v>
      </c>
      <c r="K709" s="7">
        <f t="shared" si="34"/>
        <v>59988</v>
      </c>
      <c r="L709" s="8">
        <f t="shared" si="35"/>
        <v>26709</v>
      </c>
    </row>
    <row r="710" spans="1:12" x14ac:dyDescent="0.3">
      <c r="A710" s="8" t="s">
        <v>742</v>
      </c>
      <c r="B710" s="9">
        <v>45635</v>
      </c>
      <c r="C710" s="8" t="s">
        <v>26</v>
      </c>
      <c r="D710" s="8" t="s">
        <v>13</v>
      </c>
      <c r="E710" s="8" t="s">
        <v>14</v>
      </c>
      <c r="F710" s="8" t="s">
        <v>22</v>
      </c>
      <c r="G710" s="7">
        <v>4</v>
      </c>
      <c r="H710" s="7">
        <v>10479</v>
      </c>
      <c r="I710" s="7">
        <v>14923</v>
      </c>
      <c r="J710" s="7">
        <f t="shared" si="33"/>
        <v>41916</v>
      </c>
      <c r="K710" s="7">
        <f t="shared" si="34"/>
        <v>59692</v>
      </c>
      <c r="L710" s="8">
        <f t="shared" si="35"/>
        <v>17776</v>
      </c>
    </row>
    <row r="711" spans="1:12" x14ac:dyDescent="0.3">
      <c r="A711" s="8" t="s">
        <v>743</v>
      </c>
      <c r="B711" s="9">
        <v>45636</v>
      </c>
      <c r="C711" s="8" t="s">
        <v>26</v>
      </c>
      <c r="D711" s="8" t="s">
        <v>17</v>
      </c>
      <c r="E711" s="8" t="s">
        <v>18</v>
      </c>
      <c r="F711" s="8" t="s">
        <v>25</v>
      </c>
      <c r="G711" s="7">
        <v>5</v>
      </c>
      <c r="H711" s="7">
        <v>28226</v>
      </c>
      <c r="I711" s="7">
        <v>32321</v>
      </c>
      <c r="J711" s="7">
        <f t="shared" si="33"/>
        <v>141130</v>
      </c>
      <c r="K711" s="7">
        <f t="shared" si="34"/>
        <v>161605</v>
      </c>
      <c r="L711" s="8">
        <f t="shared" si="35"/>
        <v>20475</v>
      </c>
    </row>
    <row r="712" spans="1:12" x14ac:dyDescent="0.3">
      <c r="A712" s="8" t="s">
        <v>744</v>
      </c>
      <c r="B712" s="9">
        <v>45637</v>
      </c>
      <c r="C712" s="8" t="s">
        <v>16</v>
      </c>
      <c r="D712" s="8" t="s">
        <v>21</v>
      </c>
      <c r="E712" s="8" t="s">
        <v>14</v>
      </c>
      <c r="F712" s="8" t="s">
        <v>20</v>
      </c>
      <c r="G712" s="7">
        <v>1</v>
      </c>
      <c r="H712" s="7">
        <v>24323</v>
      </c>
      <c r="I712" s="7">
        <v>25653</v>
      </c>
      <c r="J712" s="7">
        <f t="shared" si="33"/>
        <v>24323</v>
      </c>
      <c r="K712" s="7">
        <f t="shared" si="34"/>
        <v>25653</v>
      </c>
      <c r="L712" s="8">
        <f t="shared" si="35"/>
        <v>1330</v>
      </c>
    </row>
    <row r="713" spans="1:12" x14ac:dyDescent="0.3">
      <c r="A713" s="8" t="s">
        <v>745</v>
      </c>
      <c r="B713" s="9">
        <v>45638</v>
      </c>
      <c r="C713" s="8" t="s">
        <v>16</v>
      </c>
      <c r="D713" s="8" t="s">
        <v>21</v>
      </c>
      <c r="E713" s="8" t="s">
        <v>18</v>
      </c>
      <c r="F713" s="8" t="s">
        <v>19</v>
      </c>
      <c r="G713" s="7">
        <v>8</v>
      </c>
      <c r="H713" s="7">
        <v>21117</v>
      </c>
      <c r="I713" s="7">
        <v>23532</v>
      </c>
      <c r="J713" s="7">
        <f t="shared" si="33"/>
        <v>168936</v>
      </c>
      <c r="K713" s="7">
        <f t="shared" si="34"/>
        <v>188256</v>
      </c>
      <c r="L713" s="8">
        <f t="shared" si="35"/>
        <v>19320</v>
      </c>
    </row>
    <row r="714" spans="1:12" x14ac:dyDescent="0.3">
      <c r="A714" s="8" t="s">
        <v>746</v>
      </c>
      <c r="B714" s="9">
        <v>45639</v>
      </c>
      <c r="C714" s="8" t="s">
        <v>16</v>
      </c>
      <c r="D714" s="8" t="s">
        <v>13</v>
      </c>
      <c r="E714" s="8" t="s">
        <v>14</v>
      </c>
      <c r="F714" s="8" t="s">
        <v>22</v>
      </c>
      <c r="G714" s="7">
        <v>7</v>
      </c>
      <c r="H714" s="7">
        <v>30286</v>
      </c>
      <c r="I714" s="7">
        <v>39023</v>
      </c>
      <c r="J714" s="7">
        <f t="shared" si="33"/>
        <v>212002</v>
      </c>
      <c r="K714" s="7">
        <f t="shared" si="34"/>
        <v>273161</v>
      </c>
      <c r="L714" s="8">
        <f t="shared" si="35"/>
        <v>61159</v>
      </c>
    </row>
    <row r="715" spans="1:12" x14ac:dyDescent="0.3">
      <c r="A715" s="8" t="s">
        <v>747</v>
      </c>
      <c r="B715" s="9">
        <v>45640</v>
      </c>
      <c r="C715" s="8" t="s">
        <v>12</v>
      </c>
      <c r="D715" s="8" t="s">
        <v>24</v>
      </c>
      <c r="E715" s="8" t="s">
        <v>14</v>
      </c>
      <c r="F715" s="8" t="s">
        <v>22</v>
      </c>
      <c r="G715" s="7">
        <v>7</v>
      </c>
      <c r="H715" s="7">
        <v>4617</v>
      </c>
      <c r="I715" s="7">
        <v>5987</v>
      </c>
      <c r="J715" s="7">
        <f t="shared" si="33"/>
        <v>32319</v>
      </c>
      <c r="K715" s="7">
        <f t="shared" si="34"/>
        <v>41909</v>
      </c>
      <c r="L715" s="8">
        <f t="shared" si="35"/>
        <v>9590</v>
      </c>
    </row>
    <row r="716" spans="1:12" x14ac:dyDescent="0.3">
      <c r="A716" s="8" t="s">
        <v>748</v>
      </c>
      <c r="B716" s="9">
        <v>45641</v>
      </c>
      <c r="C716" s="8" t="s">
        <v>16</v>
      </c>
      <c r="D716" s="8" t="s">
        <v>27</v>
      </c>
      <c r="E716" s="8" t="s">
        <v>14</v>
      </c>
      <c r="F716" s="8" t="s">
        <v>20</v>
      </c>
      <c r="G716" s="7">
        <v>9</v>
      </c>
      <c r="H716" s="7">
        <v>35378</v>
      </c>
      <c r="I716" s="7">
        <v>44624</v>
      </c>
      <c r="J716" s="7">
        <f t="shared" si="33"/>
        <v>318402</v>
      </c>
      <c r="K716" s="7">
        <f t="shared" si="34"/>
        <v>401616</v>
      </c>
      <c r="L716" s="8">
        <f t="shared" si="35"/>
        <v>83214</v>
      </c>
    </row>
    <row r="717" spans="1:12" x14ac:dyDescent="0.3">
      <c r="A717" s="8" t="s">
        <v>749</v>
      </c>
      <c r="B717" s="9">
        <v>45642</v>
      </c>
      <c r="C717" s="8" t="s">
        <v>26</v>
      </c>
      <c r="D717" s="8" t="s">
        <v>29</v>
      </c>
      <c r="E717" s="8" t="s">
        <v>18</v>
      </c>
      <c r="F717" s="8" t="s">
        <v>19</v>
      </c>
      <c r="G717" s="7">
        <v>8</v>
      </c>
      <c r="H717" s="7">
        <v>15904</v>
      </c>
      <c r="I717" s="7">
        <v>23786</v>
      </c>
      <c r="J717" s="7">
        <f t="shared" si="33"/>
        <v>127232</v>
      </c>
      <c r="K717" s="7">
        <f t="shared" si="34"/>
        <v>190288</v>
      </c>
      <c r="L717" s="8">
        <f t="shared" si="35"/>
        <v>63056</v>
      </c>
    </row>
    <row r="718" spans="1:12" x14ac:dyDescent="0.3">
      <c r="A718" s="8" t="s">
        <v>750</v>
      </c>
      <c r="B718" s="9">
        <v>45643</v>
      </c>
      <c r="C718" s="8" t="s">
        <v>23</v>
      </c>
      <c r="D718" s="8" t="s">
        <v>17</v>
      </c>
      <c r="E718" s="8" t="s">
        <v>14</v>
      </c>
      <c r="F718" s="8" t="s">
        <v>22</v>
      </c>
      <c r="G718" s="7">
        <v>6</v>
      </c>
      <c r="H718" s="7">
        <v>36821</v>
      </c>
      <c r="I718" s="7">
        <v>39737</v>
      </c>
      <c r="J718" s="7">
        <f t="shared" si="33"/>
        <v>220926</v>
      </c>
      <c r="K718" s="7">
        <f t="shared" si="34"/>
        <v>238422</v>
      </c>
      <c r="L718" s="8">
        <f t="shared" si="35"/>
        <v>17496</v>
      </c>
    </row>
    <row r="719" spans="1:12" x14ac:dyDescent="0.3">
      <c r="A719" s="8" t="s">
        <v>751</v>
      </c>
      <c r="B719" s="9">
        <v>45644</v>
      </c>
      <c r="C719" s="8" t="s">
        <v>26</v>
      </c>
      <c r="D719" s="8" t="s">
        <v>24</v>
      </c>
      <c r="E719" s="8" t="s">
        <v>18</v>
      </c>
      <c r="F719" s="8" t="s">
        <v>28</v>
      </c>
      <c r="G719" s="7">
        <v>3</v>
      </c>
      <c r="H719" s="7">
        <v>15097</v>
      </c>
      <c r="I719" s="7">
        <v>20532</v>
      </c>
      <c r="J719" s="7">
        <f t="shared" si="33"/>
        <v>45291</v>
      </c>
      <c r="K719" s="7">
        <f t="shared" si="34"/>
        <v>61596</v>
      </c>
      <c r="L719" s="8">
        <f t="shared" si="35"/>
        <v>16305</v>
      </c>
    </row>
    <row r="720" spans="1:12" x14ac:dyDescent="0.3">
      <c r="A720" s="8" t="s">
        <v>752</v>
      </c>
      <c r="B720" s="9">
        <v>45645</v>
      </c>
      <c r="C720" s="8" t="s">
        <v>16</v>
      </c>
      <c r="D720" s="8" t="s">
        <v>13</v>
      </c>
      <c r="E720" s="8" t="s">
        <v>18</v>
      </c>
      <c r="F720" s="8" t="s">
        <v>28</v>
      </c>
      <c r="G720" s="7">
        <v>2</v>
      </c>
      <c r="H720" s="7">
        <v>28470</v>
      </c>
      <c r="I720" s="7">
        <v>37949</v>
      </c>
      <c r="J720" s="7">
        <f t="shared" si="33"/>
        <v>56940</v>
      </c>
      <c r="K720" s="7">
        <f t="shared" si="34"/>
        <v>75898</v>
      </c>
      <c r="L720" s="8">
        <f t="shared" si="35"/>
        <v>18958</v>
      </c>
    </row>
    <row r="721" spans="1:12" x14ac:dyDescent="0.3">
      <c r="A721" s="8" t="s">
        <v>753</v>
      </c>
      <c r="B721" s="9">
        <v>45646</v>
      </c>
      <c r="C721" s="8" t="s">
        <v>16</v>
      </c>
      <c r="D721" s="8" t="s">
        <v>17</v>
      </c>
      <c r="E721" s="8" t="s">
        <v>14</v>
      </c>
      <c r="F721" s="8" t="s">
        <v>15</v>
      </c>
      <c r="G721" s="7">
        <v>8</v>
      </c>
      <c r="H721" s="7">
        <v>21802</v>
      </c>
      <c r="I721" s="7">
        <v>30637</v>
      </c>
      <c r="J721" s="7">
        <f t="shared" si="33"/>
        <v>174416</v>
      </c>
      <c r="K721" s="7">
        <f t="shared" si="34"/>
        <v>245096</v>
      </c>
      <c r="L721" s="8">
        <f t="shared" si="35"/>
        <v>70680</v>
      </c>
    </row>
    <row r="722" spans="1:12" x14ac:dyDescent="0.3">
      <c r="A722" s="8" t="s">
        <v>754</v>
      </c>
      <c r="B722" s="9">
        <v>45647</v>
      </c>
      <c r="C722" s="8" t="s">
        <v>12</v>
      </c>
      <c r="D722" s="8" t="s">
        <v>21</v>
      </c>
      <c r="E722" s="8" t="s">
        <v>14</v>
      </c>
      <c r="F722" s="8" t="s">
        <v>15</v>
      </c>
      <c r="G722" s="7">
        <v>7</v>
      </c>
      <c r="H722" s="7">
        <v>35142</v>
      </c>
      <c r="I722" s="7">
        <v>36525</v>
      </c>
      <c r="J722" s="7">
        <f t="shared" si="33"/>
        <v>245994</v>
      </c>
      <c r="K722" s="7">
        <f t="shared" si="34"/>
        <v>255675</v>
      </c>
      <c r="L722" s="8">
        <f t="shared" si="35"/>
        <v>9681</v>
      </c>
    </row>
    <row r="723" spans="1:12" x14ac:dyDescent="0.3">
      <c r="A723" s="8" t="s">
        <v>755</v>
      </c>
      <c r="B723" s="9">
        <v>45648</v>
      </c>
      <c r="C723" s="8" t="s">
        <v>12</v>
      </c>
      <c r="D723" s="8" t="s">
        <v>21</v>
      </c>
      <c r="E723" s="8" t="s">
        <v>14</v>
      </c>
      <c r="F723" s="8" t="s">
        <v>22</v>
      </c>
      <c r="G723" s="7">
        <v>10</v>
      </c>
      <c r="H723" s="7">
        <v>25458</v>
      </c>
      <c r="I723" s="7">
        <v>26741</v>
      </c>
      <c r="J723" s="7">
        <f t="shared" si="33"/>
        <v>254580</v>
      </c>
      <c r="K723" s="7">
        <f t="shared" si="34"/>
        <v>267410</v>
      </c>
      <c r="L723" s="8">
        <f t="shared" si="35"/>
        <v>12830</v>
      </c>
    </row>
    <row r="724" spans="1:12" x14ac:dyDescent="0.3">
      <c r="A724" s="8" t="s">
        <v>756</v>
      </c>
      <c r="B724" s="9">
        <v>45649</v>
      </c>
      <c r="C724" s="8" t="s">
        <v>16</v>
      </c>
      <c r="D724" s="8" t="s">
        <v>24</v>
      </c>
      <c r="E724" s="8" t="s">
        <v>18</v>
      </c>
      <c r="F724" s="8" t="s">
        <v>28</v>
      </c>
      <c r="G724" s="7">
        <v>1</v>
      </c>
      <c r="H724" s="7">
        <v>34051</v>
      </c>
      <c r="I724" s="7">
        <v>34743</v>
      </c>
      <c r="J724" s="7">
        <f t="shared" si="33"/>
        <v>34051</v>
      </c>
      <c r="K724" s="7">
        <f t="shared" si="34"/>
        <v>34743</v>
      </c>
      <c r="L724" s="8">
        <f t="shared" si="35"/>
        <v>692</v>
      </c>
    </row>
    <row r="725" spans="1:12" x14ac:dyDescent="0.3">
      <c r="A725" s="8" t="s">
        <v>757</v>
      </c>
      <c r="B725" s="9">
        <v>45650</v>
      </c>
      <c r="C725" s="8" t="s">
        <v>16</v>
      </c>
      <c r="D725" s="8" t="s">
        <v>13</v>
      </c>
      <c r="E725" s="8" t="s">
        <v>18</v>
      </c>
      <c r="F725" s="8" t="s">
        <v>28</v>
      </c>
      <c r="G725" s="7">
        <v>1</v>
      </c>
      <c r="H725" s="7">
        <v>11366</v>
      </c>
      <c r="I725" s="7">
        <v>13407</v>
      </c>
      <c r="J725" s="7">
        <f t="shared" si="33"/>
        <v>11366</v>
      </c>
      <c r="K725" s="7">
        <f t="shared" si="34"/>
        <v>13407</v>
      </c>
      <c r="L725" s="8">
        <f t="shared" si="35"/>
        <v>2041</v>
      </c>
    </row>
    <row r="726" spans="1:12" x14ac:dyDescent="0.3">
      <c r="A726" s="8" t="s">
        <v>758</v>
      </c>
      <c r="B726" s="9">
        <v>45651</v>
      </c>
      <c r="C726" s="8" t="s">
        <v>12</v>
      </c>
      <c r="D726" s="8" t="s">
        <v>21</v>
      </c>
      <c r="E726" s="8" t="s">
        <v>14</v>
      </c>
      <c r="F726" s="8" t="s">
        <v>20</v>
      </c>
      <c r="G726" s="7">
        <v>7</v>
      </c>
      <c r="H726" s="7">
        <v>13921</v>
      </c>
      <c r="I726" s="7">
        <v>14739</v>
      </c>
      <c r="J726" s="7">
        <f t="shared" si="33"/>
        <v>97447</v>
      </c>
      <c r="K726" s="7">
        <f t="shared" si="34"/>
        <v>103173</v>
      </c>
      <c r="L726" s="8">
        <f t="shared" si="35"/>
        <v>5726</v>
      </c>
    </row>
    <row r="727" spans="1:12" x14ac:dyDescent="0.3">
      <c r="A727" s="8" t="s">
        <v>759</v>
      </c>
      <c r="B727" s="9">
        <v>45652</v>
      </c>
      <c r="C727" s="8" t="s">
        <v>16</v>
      </c>
      <c r="D727" s="8" t="s">
        <v>27</v>
      </c>
      <c r="E727" s="8" t="s">
        <v>18</v>
      </c>
      <c r="F727" s="8" t="s">
        <v>25</v>
      </c>
      <c r="G727" s="7">
        <v>10</v>
      </c>
      <c r="H727" s="7">
        <v>9265</v>
      </c>
      <c r="I727" s="7">
        <v>16340</v>
      </c>
      <c r="J727" s="7">
        <f t="shared" si="33"/>
        <v>92650</v>
      </c>
      <c r="K727" s="7">
        <f t="shared" si="34"/>
        <v>163400</v>
      </c>
      <c r="L727" s="8">
        <f t="shared" si="35"/>
        <v>70750</v>
      </c>
    </row>
    <row r="728" spans="1:12" x14ac:dyDescent="0.3">
      <c r="A728" s="8" t="s">
        <v>760</v>
      </c>
      <c r="B728" s="9">
        <v>45653</v>
      </c>
      <c r="C728" s="8" t="s">
        <v>12</v>
      </c>
      <c r="D728" s="8" t="s">
        <v>21</v>
      </c>
      <c r="E728" s="8" t="s">
        <v>14</v>
      </c>
      <c r="F728" s="8" t="s">
        <v>15</v>
      </c>
      <c r="G728" s="7">
        <v>2</v>
      </c>
      <c r="H728" s="7">
        <v>26990</v>
      </c>
      <c r="I728" s="7">
        <v>33262</v>
      </c>
      <c r="J728" s="7">
        <f t="shared" si="33"/>
        <v>53980</v>
      </c>
      <c r="K728" s="7">
        <f t="shared" si="34"/>
        <v>66524</v>
      </c>
      <c r="L728" s="8">
        <f t="shared" si="35"/>
        <v>12544</v>
      </c>
    </row>
    <row r="729" spans="1:12" x14ac:dyDescent="0.3">
      <c r="A729" s="8" t="s">
        <v>761</v>
      </c>
      <c r="B729" s="9">
        <v>45654</v>
      </c>
      <c r="C729" s="8" t="s">
        <v>16</v>
      </c>
      <c r="D729" s="8" t="s">
        <v>29</v>
      </c>
      <c r="E729" s="8" t="s">
        <v>18</v>
      </c>
      <c r="F729" s="8" t="s">
        <v>19</v>
      </c>
      <c r="G729" s="7">
        <v>2</v>
      </c>
      <c r="H729" s="7">
        <v>22904</v>
      </c>
      <c r="I729" s="7">
        <v>31832</v>
      </c>
      <c r="J729" s="7">
        <f t="shared" si="33"/>
        <v>45808</v>
      </c>
      <c r="K729" s="7">
        <f t="shared" si="34"/>
        <v>63664</v>
      </c>
      <c r="L729" s="8">
        <f t="shared" si="35"/>
        <v>17856</v>
      </c>
    </row>
    <row r="730" spans="1:12" x14ac:dyDescent="0.3">
      <c r="A730" s="8" t="s">
        <v>762</v>
      </c>
      <c r="B730" s="9">
        <v>45655</v>
      </c>
      <c r="C730" s="8" t="s">
        <v>23</v>
      </c>
      <c r="D730" s="8" t="s">
        <v>27</v>
      </c>
      <c r="E730" s="8" t="s">
        <v>18</v>
      </c>
      <c r="F730" s="8" t="s">
        <v>28</v>
      </c>
      <c r="G730" s="7">
        <v>2</v>
      </c>
      <c r="H730" s="7">
        <v>10200</v>
      </c>
      <c r="I730" s="7">
        <v>19241</v>
      </c>
      <c r="J730" s="7">
        <f t="shared" si="33"/>
        <v>20400</v>
      </c>
      <c r="K730" s="7">
        <f t="shared" si="34"/>
        <v>38482</v>
      </c>
      <c r="L730" s="8">
        <f t="shared" si="35"/>
        <v>18082</v>
      </c>
    </row>
    <row r="731" spans="1:12" x14ac:dyDescent="0.3">
      <c r="A731" s="8" t="s">
        <v>763</v>
      </c>
      <c r="B731" s="9">
        <v>45656</v>
      </c>
      <c r="C731" s="8" t="s">
        <v>23</v>
      </c>
      <c r="D731" s="8" t="s">
        <v>17</v>
      </c>
      <c r="E731" s="8" t="s">
        <v>18</v>
      </c>
      <c r="F731" s="8" t="s">
        <v>19</v>
      </c>
      <c r="G731" s="7">
        <v>3</v>
      </c>
      <c r="H731" s="7">
        <v>18600</v>
      </c>
      <c r="I731" s="7">
        <v>24967</v>
      </c>
      <c r="J731" s="7">
        <f t="shared" si="33"/>
        <v>55800</v>
      </c>
      <c r="K731" s="7">
        <f t="shared" si="34"/>
        <v>74901</v>
      </c>
      <c r="L731" s="8">
        <f t="shared" si="35"/>
        <v>19101</v>
      </c>
    </row>
    <row r="732" spans="1:12" x14ac:dyDescent="0.3">
      <c r="A732" s="8" t="s">
        <v>764</v>
      </c>
      <c r="B732" s="9">
        <v>45657</v>
      </c>
      <c r="C732" s="8" t="s">
        <v>23</v>
      </c>
      <c r="D732" s="8" t="s">
        <v>29</v>
      </c>
      <c r="E732" s="8" t="s">
        <v>14</v>
      </c>
      <c r="F732" s="8" t="s">
        <v>15</v>
      </c>
      <c r="G732" s="7">
        <v>4</v>
      </c>
      <c r="H732" s="7">
        <v>39975</v>
      </c>
      <c r="I732" s="7">
        <v>43568</v>
      </c>
      <c r="J732" s="7">
        <f t="shared" si="33"/>
        <v>159900</v>
      </c>
      <c r="K732" s="7">
        <f t="shared" si="34"/>
        <v>174272</v>
      </c>
      <c r="L732" s="8">
        <f t="shared" si="35"/>
        <v>14372</v>
      </c>
    </row>
    <row r="733" spans="1:12" x14ac:dyDescent="0.3">
      <c r="A733" s="8" t="s">
        <v>765</v>
      </c>
      <c r="B733" s="9">
        <v>45658</v>
      </c>
      <c r="C733" s="8" t="s">
        <v>12</v>
      </c>
      <c r="D733" s="8" t="s">
        <v>17</v>
      </c>
      <c r="E733" s="8" t="s">
        <v>14</v>
      </c>
      <c r="F733" s="8" t="s">
        <v>22</v>
      </c>
      <c r="G733" s="7">
        <v>3</v>
      </c>
      <c r="H733" s="7">
        <v>17392</v>
      </c>
      <c r="I733" s="7">
        <v>22142</v>
      </c>
      <c r="J733" s="7">
        <f t="shared" si="33"/>
        <v>52176</v>
      </c>
      <c r="K733" s="7">
        <f t="shared" si="34"/>
        <v>66426</v>
      </c>
      <c r="L733" s="8">
        <f t="shared" si="35"/>
        <v>14250</v>
      </c>
    </row>
    <row r="734" spans="1:12" x14ac:dyDescent="0.3">
      <c r="A734" s="8" t="s">
        <v>766</v>
      </c>
      <c r="B734" s="9">
        <v>45659</v>
      </c>
      <c r="C734" s="8" t="s">
        <v>26</v>
      </c>
      <c r="D734" s="8" t="s">
        <v>21</v>
      </c>
      <c r="E734" s="8" t="s">
        <v>14</v>
      </c>
      <c r="F734" s="8" t="s">
        <v>15</v>
      </c>
      <c r="G734" s="7">
        <v>6</v>
      </c>
      <c r="H734" s="7">
        <v>14288</v>
      </c>
      <c r="I734" s="7">
        <v>23843</v>
      </c>
      <c r="J734" s="7">
        <f t="shared" si="33"/>
        <v>85728</v>
      </c>
      <c r="K734" s="7">
        <f t="shared" si="34"/>
        <v>143058</v>
      </c>
      <c r="L734" s="8">
        <f t="shared" si="35"/>
        <v>57330</v>
      </c>
    </row>
    <row r="735" spans="1:12" x14ac:dyDescent="0.3">
      <c r="A735" s="8" t="s">
        <v>767</v>
      </c>
      <c r="B735" s="9">
        <v>45660</v>
      </c>
      <c r="C735" s="8" t="s">
        <v>12</v>
      </c>
      <c r="D735" s="8" t="s">
        <v>21</v>
      </c>
      <c r="E735" s="8" t="s">
        <v>18</v>
      </c>
      <c r="F735" s="8" t="s">
        <v>28</v>
      </c>
      <c r="G735" s="7">
        <v>8</v>
      </c>
      <c r="H735" s="7">
        <v>7081</v>
      </c>
      <c r="I735" s="7">
        <v>12601</v>
      </c>
      <c r="J735" s="7">
        <f t="shared" si="33"/>
        <v>56648</v>
      </c>
      <c r="K735" s="7">
        <f t="shared" si="34"/>
        <v>100808</v>
      </c>
      <c r="L735" s="8">
        <f t="shared" si="35"/>
        <v>44160</v>
      </c>
    </row>
    <row r="736" spans="1:12" x14ac:dyDescent="0.3">
      <c r="A736" s="8" t="s">
        <v>768</v>
      </c>
      <c r="B736" s="9">
        <v>45661</v>
      </c>
      <c r="C736" s="8" t="s">
        <v>12</v>
      </c>
      <c r="D736" s="8" t="s">
        <v>24</v>
      </c>
      <c r="E736" s="8" t="s">
        <v>14</v>
      </c>
      <c r="F736" s="8" t="s">
        <v>15</v>
      </c>
      <c r="G736" s="7">
        <v>4</v>
      </c>
      <c r="H736" s="7">
        <v>7074</v>
      </c>
      <c r="I736" s="7">
        <v>11049</v>
      </c>
      <c r="J736" s="7">
        <f t="shared" si="33"/>
        <v>28296</v>
      </c>
      <c r="K736" s="7">
        <f t="shared" si="34"/>
        <v>44196</v>
      </c>
      <c r="L736" s="8">
        <f t="shared" si="35"/>
        <v>15900</v>
      </c>
    </row>
    <row r="737" spans="1:12" x14ac:dyDescent="0.3">
      <c r="A737" s="8" t="s">
        <v>769</v>
      </c>
      <c r="B737" s="9">
        <v>45662</v>
      </c>
      <c r="C737" s="8" t="s">
        <v>12</v>
      </c>
      <c r="D737" s="8" t="s">
        <v>21</v>
      </c>
      <c r="E737" s="8" t="s">
        <v>18</v>
      </c>
      <c r="F737" s="8" t="s">
        <v>28</v>
      </c>
      <c r="G737" s="7">
        <v>8</v>
      </c>
      <c r="H737" s="7">
        <v>7081</v>
      </c>
      <c r="I737" s="7">
        <v>12601</v>
      </c>
      <c r="J737" s="7">
        <f t="shared" si="33"/>
        <v>56648</v>
      </c>
      <c r="K737" s="7">
        <f t="shared" si="34"/>
        <v>100808</v>
      </c>
      <c r="L737" s="8">
        <f t="shared" si="35"/>
        <v>44160</v>
      </c>
    </row>
    <row r="738" spans="1:12" x14ac:dyDescent="0.3">
      <c r="A738" s="8" t="s">
        <v>770</v>
      </c>
      <c r="B738" s="9">
        <v>45663</v>
      </c>
      <c r="C738" s="8" t="s">
        <v>26</v>
      </c>
      <c r="D738" s="8" t="s">
        <v>13</v>
      </c>
      <c r="E738" s="8" t="s">
        <v>14</v>
      </c>
      <c r="F738" s="8" t="s">
        <v>22</v>
      </c>
      <c r="G738" s="7">
        <v>2</v>
      </c>
      <c r="H738" s="7">
        <v>11952</v>
      </c>
      <c r="I738" s="7">
        <v>20595</v>
      </c>
      <c r="J738" s="7">
        <f t="shared" si="33"/>
        <v>23904</v>
      </c>
      <c r="K738" s="7">
        <f t="shared" si="34"/>
        <v>41190</v>
      </c>
      <c r="L738" s="8">
        <f t="shared" si="35"/>
        <v>17286</v>
      </c>
    </row>
    <row r="739" spans="1:12" x14ac:dyDescent="0.3">
      <c r="A739" s="8" t="s">
        <v>771</v>
      </c>
      <c r="B739" s="9">
        <v>45664</v>
      </c>
      <c r="C739" s="8" t="s">
        <v>12</v>
      </c>
      <c r="D739" s="8" t="s">
        <v>24</v>
      </c>
      <c r="E739" s="8" t="s">
        <v>14</v>
      </c>
      <c r="F739" s="8" t="s">
        <v>15</v>
      </c>
      <c r="G739" s="7">
        <v>4</v>
      </c>
      <c r="H739" s="7">
        <v>19410</v>
      </c>
      <c r="I739" s="7">
        <v>20626</v>
      </c>
      <c r="J739" s="7">
        <f t="shared" si="33"/>
        <v>77640</v>
      </c>
      <c r="K739" s="7">
        <f t="shared" si="34"/>
        <v>82504</v>
      </c>
      <c r="L739" s="8">
        <f t="shared" si="35"/>
        <v>4864</v>
      </c>
    </row>
    <row r="740" spans="1:12" x14ac:dyDescent="0.3">
      <c r="A740" s="8" t="s">
        <v>772</v>
      </c>
      <c r="B740" s="9">
        <v>45665</v>
      </c>
      <c r="C740" s="8" t="s">
        <v>26</v>
      </c>
      <c r="D740" s="8" t="s">
        <v>27</v>
      </c>
      <c r="E740" s="8" t="s">
        <v>18</v>
      </c>
      <c r="F740" s="8" t="s">
        <v>19</v>
      </c>
      <c r="G740" s="7">
        <v>3</v>
      </c>
      <c r="H740" s="7">
        <v>29187</v>
      </c>
      <c r="I740" s="7">
        <v>32082</v>
      </c>
      <c r="J740" s="7">
        <f t="shared" si="33"/>
        <v>87561</v>
      </c>
      <c r="K740" s="7">
        <f t="shared" si="34"/>
        <v>96246</v>
      </c>
      <c r="L740" s="8">
        <f t="shared" si="35"/>
        <v>8685</v>
      </c>
    </row>
    <row r="741" spans="1:12" x14ac:dyDescent="0.3">
      <c r="A741" s="8" t="s">
        <v>773</v>
      </c>
      <c r="B741" s="9">
        <v>45666</v>
      </c>
      <c r="C741" s="8" t="s">
        <v>12</v>
      </c>
      <c r="D741" s="8" t="s">
        <v>21</v>
      </c>
      <c r="E741" s="8" t="s">
        <v>18</v>
      </c>
      <c r="F741" s="8" t="s">
        <v>19</v>
      </c>
      <c r="G741" s="7">
        <v>10</v>
      </c>
      <c r="H741" s="7">
        <v>19042</v>
      </c>
      <c r="I741" s="7">
        <v>21257</v>
      </c>
      <c r="J741" s="7">
        <f t="shared" si="33"/>
        <v>190420</v>
      </c>
      <c r="K741" s="7">
        <f t="shared" si="34"/>
        <v>212570</v>
      </c>
      <c r="L741" s="8">
        <f t="shared" si="35"/>
        <v>22150</v>
      </c>
    </row>
    <row r="742" spans="1:12" x14ac:dyDescent="0.3">
      <c r="A742" s="8" t="s">
        <v>774</v>
      </c>
      <c r="B742" s="9">
        <v>45667</v>
      </c>
      <c r="C742" s="8" t="s">
        <v>16</v>
      </c>
      <c r="D742" s="8" t="s">
        <v>17</v>
      </c>
      <c r="E742" s="8" t="s">
        <v>14</v>
      </c>
      <c r="F742" s="8" t="s">
        <v>22</v>
      </c>
      <c r="G742" s="7">
        <v>7</v>
      </c>
      <c r="H742" s="7">
        <v>16048</v>
      </c>
      <c r="I742" s="7">
        <v>16326</v>
      </c>
      <c r="J742" s="7">
        <f t="shared" si="33"/>
        <v>112336</v>
      </c>
      <c r="K742" s="7">
        <f t="shared" si="34"/>
        <v>114282</v>
      </c>
      <c r="L742" s="8">
        <f t="shared" si="35"/>
        <v>1946</v>
      </c>
    </row>
    <row r="743" spans="1:12" x14ac:dyDescent="0.3">
      <c r="A743" s="8" t="s">
        <v>775</v>
      </c>
      <c r="B743" s="9">
        <v>45668</v>
      </c>
      <c r="C743" s="8" t="s">
        <v>26</v>
      </c>
      <c r="D743" s="8" t="s">
        <v>13</v>
      </c>
      <c r="E743" s="8" t="s">
        <v>14</v>
      </c>
      <c r="F743" s="8" t="s">
        <v>20</v>
      </c>
      <c r="G743" s="7">
        <v>6</v>
      </c>
      <c r="H743" s="7">
        <v>33812</v>
      </c>
      <c r="I743" s="7">
        <v>43263</v>
      </c>
      <c r="J743" s="7">
        <f t="shared" si="33"/>
        <v>202872</v>
      </c>
      <c r="K743" s="7">
        <f t="shared" si="34"/>
        <v>259578</v>
      </c>
      <c r="L743" s="8">
        <f t="shared" si="35"/>
        <v>56706</v>
      </c>
    </row>
    <row r="744" spans="1:12" x14ac:dyDescent="0.3">
      <c r="A744" s="8" t="s">
        <v>776</v>
      </c>
      <c r="B744" s="9">
        <v>45669</v>
      </c>
      <c r="C744" s="8" t="s">
        <v>23</v>
      </c>
      <c r="D744" s="8" t="s">
        <v>27</v>
      </c>
      <c r="E744" s="8" t="s">
        <v>18</v>
      </c>
      <c r="F744" s="8" t="s">
        <v>25</v>
      </c>
      <c r="G744" s="7">
        <v>10</v>
      </c>
      <c r="H744" s="7">
        <v>11329</v>
      </c>
      <c r="I744" s="7">
        <v>11827</v>
      </c>
      <c r="J744" s="7">
        <f t="shared" si="33"/>
        <v>113290</v>
      </c>
      <c r="K744" s="7">
        <f t="shared" si="34"/>
        <v>118270</v>
      </c>
      <c r="L744" s="8">
        <f t="shared" si="35"/>
        <v>4980</v>
      </c>
    </row>
    <row r="745" spans="1:12" x14ac:dyDescent="0.3">
      <c r="A745" s="8" t="s">
        <v>777</v>
      </c>
      <c r="B745" s="9">
        <v>45670</v>
      </c>
      <c r="C745" s="8" t="s">
        <v>12</v>
      </c>
      <c r="D745" s="8" t="s">
        <v>27</v>
      </c>
      <c r="E745" s="8" t="s">
        <v>14</v>
      </c>
      <c r="F745" s="8" t="s">
        <v>15</v>
      </c>
      <c r="G745" s="7">
        <v>9</v>
      </c>
      <c r="H745" s="7">
        <v>14704</v>
      </c>
      <c r="I745" s="7">
        <v>21844</v>
      </c>
      <c r="J745" s="7">
        <f t="shared" si="33"/>
        <v>132336</v>
      </c>
      <c r="K745" s="7">
        <f t="shared" si="34"/>
        <v>196596</v>
      </c>
      <c r="L745" s="8">
        <f t="shared" si="35"/>
        <v>64260</v>
      </c>
    </row>
    <row r="746" spans="1:12" x14ac:dyDescent="0.3">
      <c r="A746" s="8" t="s">
        <v>778</v>
      </c>
      <c r="B746" s="9">
        <v>45671</v>
      </c>
      <c r="C746" s="8" t="s">
        <v>12</v>
      </c>
      <c r="D746" s="8" t="s">
        <v>13</v>
      </c>
      <c r="E746" s="8" t="s">
        <v>18</v>
      </c>
      <c r="F746" s="8" t="s">
        <v>28</v>
      </c>
      <c r="G746" s="7">
        <v>3</v>
      </c>
      <c r="H746" s="7">
        <v>18202</v>
      </c>
      <c r="I746" s="7">
        <v>22196</v>
      </c>
      <c r="J746" s="7">
        <f t="shared" si="33"/>
        <v>54606</v>
      </c>
      <c r="K746" s="7">
        <f t="shared" si="34"/>
        <v>66588</v>
      </c>
      <c r="L746" s="8">
        <f t="shared" si="35"/>
        <v>11982</v>
      </c>
    </row>
    <row r="747" spans="1:12" x14ac:dyDescent="0.3">
      <c r="A747" s="8" t="s">
        <v>779</v>
      </c>
      <c r="B747" s="9">
        <v>45672</v>
      </c>
      <c r="C747" s="8" t="s">
        <v>26</v>
      </c>
      <c r="D747" s="8" t="s">
        <v>17</v>
      </c>
      <c r="E747" s="8" t="s">
        <v>14</v>
      </c>
      <c r="F747" s="8" t="s">
        <v>20</v>
      </c>
      <c r="G747" s="7">
        <v>10</v>
      </c>
      <c r="H747" s="7">
        <v>7238</v>
      </c>
      <c r="I747" s="7">
        <v>9876</v>
      </c>
      <c r="J747" s="7">
        <f t="shared" si="33"/>
        <v>72380</v>
      </c>
      <c r="K747" s="7">
        <f t="shared" si="34"/>
        <v>98760</v>
      </c>
      <c r="L747" s="8">
        <f t="shared" si="35"/>
        <v>26380</v>
      </c>
    </row>
    <row r="748" spans="1:12" x14ac:dyDescent="0.3">
      <c r="A748" s="8" t="s">
        <v>780</v>
      </c>
      <c r="B748" s="9">
        <v>45673</v>
      </c>
      <c r="C748" s="8" t="s">
        <v>12</v>
      </c>
      <c r="D748" s="8" t="s">
        <v>29</v>
      </c>
      <c r="E748" s="8" t="s">
        <v>18</v>
      </c>
      <c r="F748" s="8" t="s">
        <v>25</v>
      </c>
      <c r="G748" s="7">
        <v>4</v>
      </c>
      <c r="H748" s="7">
        <v>27876</v>
      </c>
      <c r="I748" s="7">
        <v>34141</v>
      </c>
      <c r="J748" s="7">
        <f t="shared" si="33"/>
        <v>111504</v>
      </c>
      <c r="K748" s="7">
        <f t="shared" si="34"/>
        <v>136564</v>
      </c>
      <c r="L748" s="8">
        <f t="shared" si="35"/>
        <v>25060</v>
      </c>
    </row>
    <row r="749" spans="1:12" x14ac:dyDescent="0.3">
      <c r="A749" s="8" t="s">
        <v>781</v>
      </c>
      <c r="B749" s="9">
        <v>45674</v>
      </c>
      <c r="C749" s="8" t="s">
        <v>16</v>
      </c>
      <c r="D749" s="8" t="s">
        <v>27</v>
      </c>
      <c r="E749" s="8" t="s">
        <v>18</v>
      </c>
      <c r="F749" s="8" t="s">
        <v>28</v>
      </c>
      <c r="G749" s="7">
        <v>3</v>
      </c>
      <c r="H749" s="7">
        <v>36655</v>
      </c>
      <c r="I749" s="7">
        <v>37015</v>
      </c>
      <c r="J749" s="7">
        <f t="shared" si="33"/>
        <v>109965</v>
      </c>
      <c r="K749" s="7">
        <f t="shared" si="34"/>
        <v>111045</v>
      </c>
      <c r="L749" s="8">
        <f t="shared" si="35"/>
        <v>1080</v>
      </c>
    </row>
    <row r="750" spans="1:12" x14ac:dyDescent="0.3">
      <c r="A750" s="8" t="s">
        <v>782</v>
      </c>
      <c r="B750" s="9">
        <v>45675</v>
      </c>
      <c r="C750" s="8" t="s">
        <v>12</v>
      </c>
      <c r="D750" s="8" t="s">
        <v>24</v>
      </c>
      <c r="E750" s="8" t="s">
        <v>18</v>
      </c>
      <c r="F750" s="8" t="s">
        <v>25</v>
      </c>
      <c r="G750" s="7">
        <v>5</v>
      </c>
      <c r="H750" s="7">
        <v>21165</v>
      </c>
      <c r="I750" s="7">
        <v>22995</v>
      </c>
      <c r="J750" s="7">
        <f t="shared" si="33"/>
        <v>105825</v>
      </c>
      <c r="K750" s="7">
        <f t="shared" si="34"/>
        <v>114975</v>
      </c>
      <c r="L750" s="8">
        <f t="shared" si="35"/>
        <v>9150</v>
      </c>
    </row>
    <row r="751" spans="1:12" x14ac:dyDescent="0.3">
      <c r="A751" s="8" t="s">
        <v>783</v>
      </c>
      <c r="B751" s="9">
        <v>45676</v>
      </c>
      <c r="C751" s="8" t="s">
        <v>16</v>
      </c>
      <c r="D751" s="8" t="s">
        <v>27</v>
      </c>
      <c r="E751" s="8" t="s">
        <v>18</v>
      </c>
      <c r="F751" s="8" t="s">
        <v>19</v>
      </c>
      <c r="G751" s="7">
        <v>7</v>
      </c>
      <c r="H751" s="7">
        <v>7948</v>
      </c>
      <c r="I751" s="7">
        <v>11686</v>
      </c>
      <c r="J751" s="7">
        <f t="shared" si="33"/>
        <v>55636</v>
      </c>
      <c r="K751" s="7">
        <f t="shared" si="34"/>
        <v>81802</v>
      </c>
      <c r="L751" s="8">
        <f t="shared" si="35"/>
        <v>26166</v>
      </c>
    </row>
    <row r="752" spans="1:12" x14ac:dyDescent="0.3">
      <c r="A752" s="8" t="s">
        <v>784</v>
      </c>
      <c r="B752" s="9">
        <v>45677</v>
      </c>
      <c r="C752" s="8" t="s">
        <v>12</v>
      </c>
      <c r="D752" s="8" t="s">
        <v>17</v>
      </c>
      <c r="E752" s="8" t="s">
        <v>14</v>
      </c>
      <c r="F752" s="8" t="s">
        <v>22</v>
      </c>
      <c r="G752" s="7">
        <v>5</v>
      </c>
      <c r="H752" s="7">
        <v>12571</v>
      </c>
      <c r="I752" s="7">
        <v>20774</v>
      </c>
      <c r="J752" s="7">
        <f t="shared" si="33"/>
        <v>62855</v>
      </c>
      <c r="K752" s="7">
        <f t="shared" si="34"/>
        <v>103870</v>
      </c>
      <c r="L752" s="8">
        <f t="shared" si="35"/>
        <v>41015</v>
      </c>
    </row>
    <row r="753" spans="1:12" x14ac:dyDescent="0.3">
      <c r="A753" s="8" t="s">
        <v>785</v>
      </c>
      <c r="B753" s="9">
        <v>45678</v>
      </c>
      <c r="C753" s="8" t="s">
        <v>23</v>
      </c>
      <c r="D753" s="8" t="s">
        <v>24</v>
      </c>
      <c r="E753" s="8" t="s">
        <v>18</v>
      </c>
      <c r="F753" s="8" t="s">
        <v>19</v>
      </c>
      <c r="G753" s="7">
        <v>7</v>
      </c>
      <c r="H753" s="7">
        <v>11880</v>
      </c>
      <c r="I753" s="7">
        <v>12597</v>
      </c>
      <c r="J753" s="7">
        <f t="shared" si="33"/>
        <v>83160</v>
      </c>
      <c r="K753" s="7">
        <f t="shared" si="34"/>
        <v>88179</v>
      </c>
      <c r="L753" s="8">
        <f t="shared" si="35"/>
        <v>5019</v>
      </c>
    </row>
    <row r="754" spans="1:12" x14ac:dyDescent="0.3">
      <c r="A754" s="8" t="s">
        <v>786</v>
      </c>
      <c r="B754" s="9">
        <v>45679</v>
      </c>
      <c r="C754" s="8" t="s">
        <v>16</v>
      </c>
      <c r="D754" s="8" t="s">
        <v>27</v>
      </c>
      <c r="E754" s="8" t="s">
        <v>18</v>
      </c>
      <c r="F754" s="8" t="s">
        <v>25</v>
      </c>
      <c r="G754" s="7">
        <v>4</v>
      </c>
      <c r="H754" s="7">
        <v>14808</v>
      </c>
      <c r="I754" s="7">
        <v>23237</v>
      </c>
      <c r="J754" s="7">
        <f t="shared" si="33"/>
        <v>59232</v>
      </c>
      <c r="K754" s="7">
        <f t="shared" si="34"/>
        <v>92948</v>
      </c>
      <c r="L754" s="8">
        <f t="shared" si="35"/>
        <v>33716</v>
      </c>
    </row>
    <row r="755" spans="1:12" x14ac:dyDescent="0.3">
      <c r="A755" s="8" t="s">
        <v>787</v>
      </c>
      <c r="B755" s="9">
        <v>45680</v>
      </c>
      <c r="C755" s="8" t="s">
        <v>12</v>
      </c>
      <c r="D755" s="8" t="s">
        <v>29</v>
      </c>
      <c r="E755" s="8" t="s">
        <v>14</v>
      </c>
      <c r="F755" s="8" t="s">
        <v>20</v>
      </c>
      <c r="G755" s="7">
        <v>9</v>
      </c>
      <c r="H755" s="7">
        <v>14728</v>
      </c>
      <c r="I755" s="7">
        <v>19569</v>
      </c>
      <c r="J755" s="7">
        <f t="shared" si="33"/>
        <v>132552</v>
      </c>
      <c r="K755" s="7">
        <f t="shared" si="34"/>
        <v>176121</v>
      </c>
      <c r="L755" s="8">
        <f t="shared" si="35"/>
        <v>43569</v>
      </c>
    </row>
    <row r="756" spans="1:12" x14ac:dyDescent="0.3">
      <c r="A756" s="8" t="s">
        <v>788</v>
      </c>
      <c r="B756" s="9">
        <v>45681</v>
      </c>
      <c r="C756" s="8" t="s">
        <v>26</v>
      </c>
      <c r="D756" s="8" t="s">
        <v>29</v>
      </c>
      <c r="E756" s="8" t="s">
        <v>18</v>
      </c>
      <c r="F756" s="8" t="s">
        <v>28</v>
      </c>
      <c r="G756" s="7">
        <v>10</v>
      </c>
      <c r="H756" s="7">
        <v>21577</v>
      </c>
      <c r="I756" s="7">
        <v>24858</v>
      </c>
      <c r="J756" s="7">
        <f t="shared" si="33"/>
        <v>215770</v>
      </c>
      <c r="K756" s="7">
        <f t="shared" si="34"/>
        <v>248580</v>
      </c>
      <c r="L756" s="8">
        <f t="shared" si="35"/>
        <v>32810</v>
      </c>
    </row>
    <row r="757" spans="1:12" x14ac:dyDescent="0.3">
      <c r="A757" s="8" t="s">
        <v>789</v>
      </c>
      <c r="B757" s="9">
        <v>45682</v>
      </c>
      <c r="C757" s="8" t="s">
        <v>26</v>
      </c>
      <c r="D757" s="8" t="s">
        <v>21</v>
      </c>
      <c r="E757" s="8" t="s">
        <v>14</v>
      </c>
      <c r="F757" s="8" t="s">
        <v>22</v>
      </c>
      <c r="G757" s="7">
        <v>1</v>
      </c>
      <c r="H757" s="7">
        <v>20680</v>
      </c>
      <c r="I757" s="7">
        <v>24395</v>
      </c>
      <c r="J757" s="7">
        <f t="shared" si="33"/>
        <v>20680</v>
      </c>
      <c r="K757" s="7">
        <f t="shared" si="34"/>
        <v>24395</v>
      </c>
      <c r="L757" s="8">
        <f t="shared" si="35"/>
        <v>3715</v>
      </c>
    </row>
    <row r="758" spans="1:12" x14ac:dyDescent="0.3">
      <c r="A758" s="8" t="s">
        <v>790</v>
      </c>
      <c r="B758" s="9">
        <v>45683</v>
      </c>
      <c r="C758" s="8" t="s">
        <v>26</v>
      </c>
      <c r="D758" s="8" t="s">
        <v>21</v>
      </c>
      <c r="E758" s="8" t="s">
        <v>18</v>
      </c>
      <c r="F758" s="8" t="s">
        <v>19</v>
      </c>
      <c r="G758" s="7">
        <v>4</v>
      </c>
      <c r="H758" s="7">
        <v>2704</v>
      </c>
      <c r="I758" s="7">
        <v>3473</v>
      </c>
      <c r="J758" s="7">
        <f t="shared" si="33"/>
        <v>10816</v>
      </c>
      <c r="K758" s="7">
        <f t="shared" si="34"/>
        <v>13892</v>
      </c>
      <c r="L758" s="8">
        <f t="shared" si="35"/>
        <v>3076</v>
      </c>
    </row>
    <row r="759" spans="1:12" x14ac:dyDescent="0.3">
      <c r="A759" s="8" t="s">
        <v>791</v>
      </c>
      <c r="B759" s="9">
        <v>45684</v>
      </c>
      <c r="C759" s="8" t="s">
        <v>26</v>
      </c>
      <c r="D759" s="8" t="s">
        <v>21</v>
      </c>
      <c r="E759" s="8" t="s">
        <v>18</v>
      </c>
      <c r="F759" s="8" t="s">
        <v>28</v>
      </c>
      <c r="G759" s="7">
        <v>4</v>
      </c>
      <c r="H759" s="7">
        <v>6904</v>
      </c>
      <c r="I759" s="7">
        <v>9856</v>
      </c>
      <c r="J759" s="7">
        <f t="shared" si="33"/>
        <v>27616</v>
      </c>
      <c r="K759" s="7">
        <f t="shared" si="34"/>
        <v>39424</v>
      </c>
      <c r="L759" s="8">
        <f t="shared" si="35"/>
        <v>11808</v>
      </c>
    </row>
    <row r="760" spans="1:12" x14ac:dyDescent="0.3">
      <c r="A760" s="8" t="s">
        <v>792</v>
      </c>
      <c r="B760" s="9">
        <v>45685</v>
      </c>
      <c r="C760" s="8" t="s">
        <v>12</v>
      </c>
      <c r="D760" s="8" t="s">
        <v>29</v>
      </c>
      <c r="E760" s="8" t="s">
        <v>18</v>
      </c>
      <c r="F760" s="8" t="s">
        <v>28</v>
      </c>
      <c r="G760" s="7">
        <v>6</v>
      </c>
      <c r="H760" s="7">
        <v>30008</v>
      </c>
      <c r="I760" s="7">
        <v>35165</v>
      </c>
      <c r="J760" s="7">
        <f t="shared" si="33"/>
        <v>180048</v>
      </c>
      <c r="K760" s="7">
        <f t="shared" si="34"/>
        <v>210990</v>
      </c>
      <c r="L760" s="8">
        <f t="shared" si="35"/>
        <v>30942</v>
      </c>
    </row>
    <row r="761" spans="1:12" x14ac:dyDescent="0.3">
      <c r="A761" s="8" t="s">
        <v>793</v>
      </c>
      <c r="B761" s="9">
        <v>45686</v>
      </c>
      <c r="C761" s="8" t="s">
        <v>12</v>
      </c>
      <c r="D761" s="8" t="s">
        <v>29</v>
      </c>
      <c r="E761" s="8" t="s">
        <v>14</v>
      </c>
      <c r="F761" s="8" t="s">
        <v>22</v>
      </c>
      <c r="G761" s="7">
        <v>1</v>
      </c>
      <c r="H761" s="7">
        <v>17893</v>
      </c>
      <c r="I761" s="7">
        <v>20233</v>
      </c>
      <c r="J761" s="7">
        <f t="shared" si="33"/>
        <v>17893</v>
      </c>
      <c r="K761" s="7">
        <f t="shared" si="34"/>
        <v>20233</v>
      </c>
      <c r="L761" s="8">
        <f t="shared" si="35"/>
        <v>2340</v>
      </c>
    </row>
    <row r="762" spans="1:12" x14ac:dyDescent="0.3">
      <c r="A762" s="8" t="s">
        <v>794</v>
      </c>
      <c r="B762" s="9">
        <v>45687</v>
      </c>
      <c r="C762" s="8" t="s">
        <v>26</v>
      </c>
      <c r="D762" s="8" t="s">
        <v>13</v>
      </c>
      <c r="E762" s="8" t="s">
        <v>14</v>
      </c>
      <c r="F762" s="8" t="s">
        <v>20</v>
      </c>
      <c r="G762" s="7">
        <v>1</v>
      </c>
      <c r="H762" s="7">
        <v>39831</v>
      </c>
      <c r="I762" s="7">
        <v>40281</v>
      </c>
      <c r="J762" s="7">
        <f t="shared" si="33"/>
        <v>39831</v>
      </c>
      <c r="K762" s="7">
        <f t="shared" si="34"/>
        <v>40281</v>
      </c>
      <c r="L762" s="8">
        <f t="shared" si="35"/>
        <v>450</v>
      </c>
    </row>
    <row r="763" spans="1:12" x14ac:dyDescent="0.3">
      <c r="A763" s="8" t="s">
        <v>795</v>
      </c>
      <c r="B763" s="9">
        <v>45688</v>
      </c>
      <c r="C763" s="8" t="s">
        <v>23</v>
      </c>
      <c r="D763" s="8" t="s">
        <v>21</v>
      </c>
      <c r="E763" s="8" t="s">
        <v>18</v>
      </c>
      <c r="F763" s="8" t="s">
        <v>19</v>
      </c>
      <c r="G763" s="7">
        <v>9</v>
      </c>
      <c r="H763" s="7">
        <v>12809</v>
      </c>
      <c r="I763" s="7">
        <v>14722</v>
      </c>
      <c r="J763" s="7">
        <f t="shared" si="33"/>
        <v>115281</v>
      </c>
      <c r="K763" s="7">
        <f t="shared" si="34"/>
        <v>132498</v>
      </c>
      <c r="L763" s="8">
        <f t="shared" si="35"/>
        <v>17217</v>
      </c>
    </row>
    <row r="764" spans="1:12" x14ac:dyDescent="0.3">
      <c r="A764" s="8" t="s">
        <v>796</v>
      </c>
      <c r="B764" s="9">
        <v>45689</v>
      </c>
      <c r="C764" s="8" t="s">
        <v>12</v>
      </c>
      <c r="D764" s="8" t="s">
        <v>21</v>
      </c>
      <c r="E764" s="8" t="s">
        <v>18</v>
      </c>
      <c r="F764" s="8" t="s">
        <v>25</v>
      </c>
      <c r="G764" s="7">
        <v>3</v>
      </c>
      <c r="H764" s="7">
        <v>27763</v>
      </c>
      <c r="I764" s="7">
        <v>31969</v>
      </c>
      <c r="J764" s="7">
        <f t="shared" si="33"/>
        <v>83289</v>
      </c>
      <c r="K764" s="7">
        <f t="shared" si="34"/>
        <v>95907</v>
      </c>
      <c r="L764" s="8">
        <f t="shared" si="35"/>
        <v>12618</v>
      </c>
    </row>
    <row r="765" spans="1:12" x14ac:dyDescent="0.3">
      <c r="A765" s="8" t="s">
        <v>797</v>
      </c>
      <c r="B765" s="9">
        <v>45690</v>
      </c>
      <c r="C765" s="8" t="s">
        <v>23</v>
      </c>
      <c r="D765" s="8" t="s">
        <v>27</v>
      </c>
      <c r="E765" s="8" t="s">
        <v>18</v>
      </c>
      <c r="F765" s="8" t="s">
        <v>28</v>
      </c>
      <c r="G765" s="7">
        <v>7</v>
      </c>
      <c r="H765" s="7">
        <v>28576</v>
      </c>
      <c r="I765" s="7">
        <v>33522</v>
      </c>
      <c r="J765" s="7">
        <f t="shared" si="33"/>
        <v>200032</v>
      </c>
      <c r="K765" s="7">
        <f t="shared" si="34"/>
        <v>234654</v>
      </c>
      <c r="L765" s="8">
        <f t="shared" si="35"/>
        <v>34622</v>
      </c>
    </row>
    <row r="766" spans="1:12" x14ac:dyDescent="0.3">
      <c r="A766" s="8" t="s">
        <v>798</v>
      </c>
      <c r="B766" s="9">
        <v>45691</v>
      </c>
      <c r="C766" s="8" t="s">
        <v>16</v>
      </c>
      <c r="D766" s="8" t="s">
        <v>29</v>
      </c>
      <c r="E766" s="8" t="s">
        <v>18</v>
      </c>
      <c r="F766" s="8" t="s">
        <v>25</v>
      </c>
      <c r="G766" s="7">
        <v>2</v>
      </c>
      <c r="H766" s="7">
        <v>1097</v>
      </c>
      <c r="I766" s="7">
        <v>1409</v>
      </c>
      <c r="J766" s="7">
        <f t="shared" si="33"/>
        <v>2194</v>
      </c>
      <c r="K766" s="7">
        <f t="shared" si="34"/>
        <v>2818</v>
      </c>
      <c r="L766" s="8">
        <f t="shared" si="35"/>
        <v>624</v>
      </c>
    </row>
    <row r="767" spans="1:12" x14ac:dyDescent="0.3">
      <c r="A767" s="8" t="s">
        <v>799</v>
      </c>
      <c r="B767" s="9">
        <v>45692</v>
      </c>
      <c r="C767" s="8" t="s">
        <v>26</v>
      </c>
      <c r="D767" s="8" t="s">
        <v>21</v>
      </c>
      <c r="E767" s="8" t="s">
        <v>18</v>
      </c>
      <c r="F767" s="8" t="s">
        <v>19</v>
      </c>
      <c r="G767" s="7">
        <v>2</v>
      </c>
      <c r="H767" s="7">
        <v>2084</v>
      </c>
      <c r="I767" s="7">
        <v>6054</v>
      </c>
      <c r="J767" s="7">
        <f t="shared" si="33"/>
        <v>4168</v>
      </c>
      <c r="K767" s="7">
        <f t="shared" si="34"/>
        <v>12108</v>
      </c>
      <c r="L767" s="8">
        <f t="shared" si="35"/>
        <v>7940</v>
      </c>
    </row>
    <row r="768" spans="1:12" x14ac:dyDescent="0.3">
      <c r="A768" s="8" t="s">
        <v>800</v>
      </c>
      <c r="B768" s="9">
        <v>45693</v>
      </c>
      <c r="C768" s="8" t="s">
        <v>16</v>
      </c>
      <c r="D768" s="8" t="s">
        <v>29</v>
      </c>
      <c r="E768" s="8" t="s">
        <v>14</v>
      </c>
      <c r="F768" s="8" t="s">
        <v>22</v>
      </c>
      <c r="G768" s="7">
        <v>7</v>
      </c>
      <c r="H768" s="7">
        <v>28168</v>
      </c>
      <c r="I768" s="7">
        <v>35566</v>
      </c>
      <c r="J768" s="7">
        <f t="shared" si="33"/>
        <v>197176</v>
      </c>
      <c r="K768" s="7">
        <f t="shared" si="34"/>
        <v>248962</v>
      </c>
      <c r="L768" s="8">
        <f t="shared" si="35"/>
        <v>51786</v>
      </c>
    </row>
    <row r="769" spans="1:12" x14ac:dyDescent="0.3">
      <c r="A769" s="8" t="s">
        <v>801</v>
      </c>
      <c r="B769" s="9">
        <v>45694</v>
      </c>
      <c r="C769" s="8" t="s">
        <v>26</v>
      </c>
      <c r="D769" s="8" t="s">
        <v>13</v>
      </c>
      <c r="E769" s="8" t="s">
        <v>18</v>
      </c>
      <c r="F769" s="8" t="s">
        <v>25</v>
      </c>
      <c r="G769" s="7">
        <v>9</v>
      </c>
      <c r="H769" s="7">
        <v>10268</v>
      </c>
      <c r="I769" s="7">
        <v>20253</v>
      </c>
      <c r="J769" s="7">
        <f t="shared" si="33"/>
        <v>92412</v>
      </c>
      <c r="K769" s="7">
        <f t="shared" si="34"/>
        <v>182277</v>
      </c>
      <c r="L769" s="8">
        <f t="shared" si="35"/>
        <v>89865</v>
      </c>
    </row>
    <row r="770" spans="1:12" x14ac:dyDescent="0.3">
      <c r="A770" s="8" t="s">
        <v>802</v>
      </c>
      <c r="B770" s="9">
        <v>45695</v>
      </c>
      <c r="C770" s="8" t="s">
        <v>12</v>
      </c>
      <c r="D770" s="8" t="s">
        <v>17</v>
      </c>
      <c r="E770" s="8" t="s">
        <v>18</v>
      </c>
      <c r="F770" s="8" t="s">
        <v>19</v>
      </c>
      <c r="G770" s="7">
        <v>7</v>
      </c>
      <c r="H770" s="7">
        <v>32620</v>
      </c>
      <c r="I770" s="7">
        <v>35560</v>
      </c>
      <c r="J770" s="7">
        <f t="shared" si="33"/>
        <v>228340</v>
      </c>
      <c r="K770" s="7">
        <f t="shared" si="34"/>
        <v>248920</v>
      </c>
      <c r="L770" s="8">
        <f t="shared" si="35"/>
        <v>20580</v>
      </c>
    </row>
    <row r="771" spans="1:12" x14ac:dyDescent="0.3">
      <c r="A771" s="8" t="s">
        <v>803</v>
      </c>
      <c r="B771" s="9">
        <v>45696</v>
      </c>
      <c r="C771" s="8" t="s">
        <v>26</v>
      </c>
      <c r="D771" s="8" t="s">
        <v>29</v>
      </c>
      <c r="E771" s="8" t="s">
        <v>14</v>
      </c>
      <c r="F771" s="8" t="s">
        <v>22</v>
      </c>
      <c r="G771" s="7">
        <v>9</v>
      </c>
      <c r="H771" s="7">
        <v>22858</v>
      </c>
      <c r="I771" s="7">
        <v>27537</v>
      </c>
      <c r="J771" s="7">
        <f t="shared" ref="J771:J834" si="36">G771*H771</f>
        <v>205722</v>
      </c>
      <c r="K771" s="7">
        <f t="shared" ref="K771:K834" si="37">G771*I771</f>
        <v>247833</v>
      </c>
      <c r="L771" s="8">
        <f t="shared" ref="L771:L834" si="38">(I771-H771)*G771</f>
        <v>42111</v>
      </c>
    </row>
    <row r="772" spans="1:12" x14ac:dyDescent="0.3">
      <c r="A772" s="8" t="s">
        <v>804</v>
      </c>
      <c r="B772" s="9">
        <v>45697</v>
      </c>
      <c r="C772" s="8" t="s">
        <v>12</v>
      </c>
      <c r="D772" s="8" t="s">
        <v>17</v>
      </c>
      <c r="E772" s="8" t="s">
        <v>14</v>
      </c>
      <c r="F772" s="8" t="s">
        <v>22</v>
      </c>
      <c r="G772" s="7">
        <v>9</v>
      </c>
      <c r="H772" s="7">
        <v>9650</v>
      </c>
      <c r="I772" s="7">
        <v>19095</v>
      </c>
      <c r="J772" s="7">
        <f t="shared" si="36"/>
        <v>86850</v>
      </c>
      <c r="K772" s="7">
        <f t="shared" si="37"/>
        <v>171855</v>
      </c>
      <c r="L772" s="8">
        <f t="shared" si="38"/>
        <v>85005</v>
      </c>
    </row>
    <row r="773" spans="1:12" x14ac:dyDescent="0.3">
      <c r="A773" s="8" t="s">
        <v>805</v>
      </c>
      <c r="B773" s="9">
        <v>45698</v>
      </c>
      <c r="C773" s="8" t="s">
        <v>12</v>
      </c>
      <c r="D773" s="8" t="s">
        <v>13</v>
      </c>
      <c r="E773" s="8" t="s">
        <v>18</v>
      </c>
      <c r="F773" s="8" t="s">
        <v>19</v>
      </c>
      <c r="G773" s="7">
        <v>7</v>
      </c>
      <c r="H773" s="7">
        <v>23050</v>
      </c>
      <c r="I773" s="7">
        <v>26386</v>
      </c>
      <c r="J773" s="7">
        <f t="shared" si="36"/>
        <v>161350</v>
      </c>
      <c r="K773" s="7">
        <f t="shared" si="37"/>
        <v>184702</v>
      </c>
      <c r="L773" s="8">
        <f t="shared" si="38"/>
        <v>23352</v>
      </c>
    </row>
    <row r="774" spans="1:12" x14ac:dyDescent="0.3">
      <c r="A774" s="8" t="s">
        <v>806</v>
      </c>
      <c r="B774" s="9">
        <v>45699</v>
      </c>
      <c r="C774" s="8" t="s">
        <v>12</v>
      </c>
      <c r="D774" s="8" t="s">
        <v>27</v>
      </c>
      <c r="E774" s="8" t="s">
        <v>14</v>
      </c>
      <c r="F774" s="8" t="s">
        <v>20</v>
      </c>
      <c r="G774" s="7">
        <v>5</v>
      </c>
      <c r="H774" s="7">
        <v>2278</v>
      </c>
      <c r="I774" s="7">
        <v>10813</v>
      </c>
      <c r="J774" s="7">
        <f t="shared" si="36"/>
        <v>11390</v>
      </c>
      <c r="K774" s="7">
        <f t="shared" si="37"/>
        <v>54065</v>
      </c>
      <c r="L774" s="8">
        <f t="shared" si="38"/>
        <v>42675</v>
      </c>
    </row>
    <row r="775" spans="1:12" x14ac:dyDescent="0.3">
      <c r="A775" s="8" t="s">
        <v>807</v>
      </c>
      <c r="B775" s="9">
        <v>45700</v>
      </c>
      <c r="C775" s="8" t="s">
        <v>16</v>
      </c>
      <c r="D775" s="8" t="s">
        <v>13</v>
      </c>
      <c r="E775" s="8" t="s">
        <v>14</v>
      </c>
      <c r="F775" s="8" t="s">
        <v>22</v>
      </c>
      <c r="G775" s="7">
        <v>2</v>
      </c>
      <c r="H775" s="7">
        <v>31576</v>
      </c>
      <c r="I775" s="7">
        <v>32037</v>
      </c>
      <c r="J775" s="7">
        <f t="shared" si="36"/>
        <v>63152</v>
      </c>
      <c r="K775" s="7">
        <f t="shared" si="37"/>
        <v>64074</v>
      </c>
      <c r="L775" s="8">
        <f t="shared" si="38"/>
        <v>922</v>
      </c>
    </row>
    <row r="776" spans="1:12" x14ac:dyDescent="0.3">
      <c r="A776" s="8" t="s">
        <v>808</v>
      </c>
      <c r="B776" s="9">
        <v>45701</v>
      </c>
      <c r="C776" s="8" t="s">
        <v>12</v>
      </c>
      <c r="D776" s="8" t="s">
        <v>13</v>
      </c>
      <c r="E776" s="8" t="s">
        <v>14</v>
      </c>
      <c r="F776" s="8" t="s">
        <v>20</v>
      </c>
      <c r="G776" s="7">
        <v>1</v>
      </c>
      <c r="H776" s="7">
        <v>31405</v>
      </c>
      <c r="I776" s="7">
        <v>38163</v>
      </c>
      <c r="J776" s="7">
        <f t="shared" si="36"/>
        <v>31405</v>
      </c>
      <c r="K776" s="7">
        <f t="shared" si="37"/>
        <v>38163</v>
      </c>
      <c r="L776" s="8">
        <f t="shared" si="38"/>
        <v>6758</v>
      </c>
    </row>
    <row r="777" spans="1:12" x14ac:dyDescent="0.3">
      <c r="A777" s="8" t="s">
        <v>809</v>
      </c>
      <c r="B777" s="9">
        <v>45702</v>
      </c>
      <c r="C777" s="8" t="s">
        <v>26</v>
      </c>
      <c r="D777" s="8" t="s">
        <v>17</v>
      </c>
      <c r="E777" s="8" t="s">
        <v>14</v>
      </c>
      <c r="F777" s="8" t="s">
        <v>22</v>
      </c>
      <c r="G777" s="7">
        <v>4</v>
      </c>
      <c r="H777" s="7">
        <v>18621</v>
      </c>
      <c r="I777" s="7">
        <v>27256</v>
      </c>
      <c r="J777" s="7">
        <f t="shared" si="36"/>
        <v>74484</v>
      </c>
      <c r="K777" s="7">
        <f t="shared" si="37"/>
        <v>109024</v>
      </c>
      <c r="L777" s="8">
        <f t="shared" si="38"/>
        <v>34540</v>
      </c>
    </row>
    <row r="778" spans="1:12" x14ac:dyDescent="0.3">
      <c r="A778" s="8" t="s">
        <v>810</v>
      </c>
      <c r="B778" s="9">
        <v>45703</v>
      </c>
      <c r="C778" s="8" t="s">
        <v>23</v>
      </c>
      <c r="D778" s="8" t="s">
        <v>21</v>
      </c>
      <c r="E778" s="8" t="s">
        <v>18</v>
      </c>
      <c r="F778" s="8" t="s">
        <v>19</v>
      </c>
      <c r="G778" s="7">
        <v>3</v>
      </c>
      <c r="H778" s="7">
        <v>33463</v>
      </c>
      <c r="I778" s="7">
        <v>39589</v>
      </c>
      <c r="J778" s="7">
        <f t="shared" si="36"/>
        <v>100389</v>
      </c>
      <c r="K778" s="7">
        <f t="shared" si="37"/>
        <v>118767</v>
      </c>
      <c r="L778" s="8">
        <f t="shared" si="38"/>
        <v>18378</v>
      </c>
    </row>
    <row r="779" spans="1:12" x14ac:dyDescent="0.3">
      <c r="A779" s="8" t="s">
        <v>811</v>
      </c>
      <c r="B779" s="9">
        <v>45704</v>
      </c>
      <c r="C779" s="8" t="s">
        <v>16</v>
      </c>
      <c r="D779" s="8" t="s">
        <v>29</v>
      </c>
      <c r="E779" s="8" t="s">
        <v>18</v>
      </c>
      <c r="F779" s="8" t="s">
        <v>19</v>
      </c>
      <c r="G779" s="7">
        <v>8</v>
      </c>
      <c r="H779" s="7">
        <v>35019</v>
      </c>
      <c r="I779" s="7">
        <v>39344</v>
      </c>
      <c r="J779" s="7">
        <f t="shared" si="36"/>
        <v>280152</v>
      </c>
      <c r="K779" s="7">
        <f t="shared" si="37"/>
        <v>314752</v>
      </c>
      <c r="L779" s="8">
        <f t="shared" si="38"/>
        <v>34600</v>
      </c>
    </row>
    <row r="780" spans="1:12" x14ac:dyDescent="0.3">
      <c r="A780" s="8" t="s">
        <v>812</v>
      </c>
      <c r="B780" s="9">
        <v>45705</v>
      </c>
      <c r="C780" s="8" t="s">
        <v>16</v>
      </c>
      <c r="D780" s="8" t="s">
        <v>17</v>
      </c>
      <c r="E780" s="8" t="s">
        <v>14</v>
      </c>
      <c r="F780" s="8" t="s">
        <v>15</v>
      </c>
      <c r="G780" s="7">
        <v>8</v>
      </c>
      <c r="H780" s="7">
        <v>2405</v>
      </c>
      <c r="I780" s="7">
        <v>7433</v>
      </c>
      <c r="J780" s="7">
        <f t="shared" si="36"/>
        <v>19240</v>
      </c>
      <c r="K780" s="7">
        <f t="shared" si="37"/>
        <v>59464</v>
      </c>
      <c r="L780" s="8">
        <f t="shared" si="38"/>
        <v>40224</v>
      </c>
    </row>
    <row r="781" spans="1:12" x14ac:dyDescent="0.3">
      <c r="A781" s="8" t="s">
        <v>813</v>
      </c>
      <c r="B781" s="9">
        <v>45706</v>
      </c>
      <c r="C781" s="8" t="s">
        <v>26</v>
      </c>
      <c r="D781" s="8" t="s">
        <v>24</v>
      </c>
      <c r="E781" s="8" t="s">
        <v>18</v>
      </c>
      <c r="F781" s="8" t="s">
        <v>19</v>
      </c>
      <c r="G781" s="7">
        <v>3</v>
      </c>
      <c r="H781" s="7">
        <v>23931</v>
      </c>
      <c r="I781" s="7">
        <v>25959</v>
      </c>
      <c r="J781" s="7">
        <f t="shared" si="36"/>
        <v>71793</v>
      </c>
      <c r="K781" s="7">
        <f t="shared" si="37"/>
        <v>77877</v>
      </c>
      <c r="L781" s="8">
        <f t="shared" si="38"/>
        <v>6084</v>
      </c>
    </row>
    <row r="782" spans="1:12" x14ac:dyDescent="0.3">
      <c r="A782" s="8" t="s">
        <v>814</v>
      </c>
      <c r="B782" s="9">
        <v>45707</v>
      </c>
      <c r="C782" s="8" t="s">
        <v>23</v>
      </c>
      <c r="D782" s="8" t="s">
        <v>17</v>
      </c>
      <c r="E782" s="8" t="s">
        <v>14</v>
      </c>
      <c r="F782" s="8" t="s">
        <v>15</v>
      </c>
      <c r="G782" s="7">
        <v>9</v>
      </c>
      <c r="H782" s="7">
        <v>2427</v>
      </c>
      <c r="I782" s="7">
        <v>2858</v>
      </c>
      <c r="J782" s="7">
        <f t="shared" si="36"/>
        <v>21843</v>
      </c>
      <c r="K782" s="7">
        <f t="shared" si="37"/>
        <v>25722</v>
      </c>
      <c r="L782" s="8">
        <f t="shared" si="38"/>
        <v>3879</v>
      </c>
    </row>
    <row r="783" spans="1:12" x14ac:dyDescent="0.3">
      <c r="A783" s="8" t="s">
        <v>815</v>
      </c>
      <c r="B783" s="9">
        <v>45708</v>
      </c>
      <c r="C783" s="8" t="s">
        <v>16</v>
      </c>
      <c r="D783" s="8" t="s">
        <v>24</v>
      </c>
      <c r="E783" s="8" t="s">
        <v>14</v>
      </c>
      <c r="F783" s="8" t="s">
        <v>20</v>
      </c>
      <c r="G783" s="7">
        <v>7</v>
      </c>
      <c r="H783" s="7">
        <v>11433</v>
      </c>
      <c r="I783" s="7">
        <v>16098</v>
      </c>
      <c r="J783" s="7">
        <f t="shared" si="36"/>
        <v>80031</v>
      </c>
      <c r="K783" s="7">
        <f t="shared" si="37"/>
        <v>112686</v>
      </c>
      <c r="L783" s="8">
        <f t="shared" si="38"/>
        <v>32655</v>
      </c>
    </row>
    <row r="784" spans="1:12" x14ac:dyDescent="0.3">
      <c r="A784" s="8" t="s">
        <v>816</v>
      </c>
      <c r="B784" s="9">
        <v>45709</v>
      </c>
      <c r="C784" s="8" t="s">
        <v>23</v>
      </c>
      <c r="D784" s="8" t="s">
        <v>17</v>
      </c>
      <c r="E784" s="8" t="s">
        <v>14</v>
      </c>
      <c r="F784" s="8" t="s">
        <v>22</v>
      </c>
      <c r="G784" s="7">
        <v>3</v>
      </c>
      <c r="H784" s="7">
        <v>8943</v>
      </c>
      <c r="I784" s="7">
        <v>16412</v>
      </c>
      <c r="J784" s="7">
        <f t="shared" si="36"/>
        <v>26829</v>
      </c>
      <c r="K784" s="7">
        <f t="shared" si="37"/>
        <v>49236</v>
      </c>
      <c r="L784" s="8">
        <f t="shared" si="38"/>
        <v>22407</v>
      </c>
    </row>
    <row r="785" spans="1:12" x14ac:dyDescent="0.3">
      <c r="A785" s="8" t="s">
        <v>817</v>
      </c>
      <c r="B785" s="9">
        <v>45710</v>
      </c>
      <c r="C785" s="8" t="s">
        <v>12</v>
      </c>
      <c r="D785" s="8" t="s">
        <v>29</v>
      </c>
      <c r="E785" s="8" t="s">
        <v>18</v>
      </c>
      <c r="F785" s="8" t="s">
        <v>25</v>
      </c>
      <c r="G785" s="7">
        <v>6</v>
      </c>
      <c r="H785" s="7">
        <v>9032</v>
      </c>
      <c r="I785" s="7">
        <v>10792</v>
      </c>
      <c r="J785" s="7">
        <f t="shared" si="36"/>
        <v>54192</v>
      </c>
      <c r="K785" s="7">
        <f t="shared" si="37"/>
        <v>64752</v>
      </c>
      <c r="L785" s="8">
        <f t="shared" si="38"/>
        <v>10560</v>
      </c>
    </row>
    <row r="786" spans="1:12" x14ac:dyDescent="0.3">
      <c r="A786" s="8" t="s">
        <v>818</v>
      </c>
      <c r="B786" s="9">
        <v>45711</v>
      </c>
      <c r="C786" s="8" t="s">
        <v>26</v>
      </c>
      <c r="D786" s="8" t="s">
        <v>29</v>
      </c>
      <c r="E786" s="8" t="s">
        <v>18</v>
      </c>
      <c r="F786" s="8" t="s">
        <v>25</v>
      </c>
      <c r="G786" s="7">
        <v>7</v>
      </c>
      <c r="H786" s="7">
        <v>39346</v>
      </c>
      <c r="I786" s="7">
        <v>46565</v>
      </c>
      <c r="J786" s="7">
        <f t="shared" si="36"/>
        <v>275422</v>
      </c>
      <c r="K786" s="7">
        <f t="shared" si="37"/>
        <v>325955</v>
      </c>
      <c r="L786" s="8">
        <f t="shared" si="38"/>
        <v>50533</v>
      </c>
    </row>
    <row r="787" spans="1:12" x14ac:dyDescent="0.3">
      <c r="A787" s="8" t="s">
        <v>819</v>
      </c>
      <c r="B787" s="9">
        <v>45712</v>
      </c>
      <c r="C787" s="8" t="s">
        <v>23</v>
      </c>
      <c r="D787" s="8" t="s">
        <v>27</v>
      </c>
      <c r="E787" s="8" t="s">
        <v>14</v>
      </c>
      <c r="F787" s="8" t="s">
        <v>15</v>
      </c>
      <c r="G787" s="7">
        <v>4</v>
      </c>
      <c r="H787" s="7">
        <v>39425</v>
      </c>
      <c r="I787" s="7">
        <v>41215</v>
      </c>
      <c r="J787" s="7">
        <f t="shared" si="36"/>
        <v>157700</v>
      </c>
      <c r="K787" s="7">
        <f t="shared" si="37"/>
        <v>164860</v>
      </c>
      <c r="L787" s="8">
        <f t="shared" si="38"/>
        <v>7160</v>
      </c>
    </row>
    <row r="788" spans="1:12" x14ac:dyDescent="0.3">
      <c r="A788" s="8" t="s">
        <v>820</v>
      </c>
      <c r="B788" s="9">
        <v>45713</v>
      </c>
      <c r="C788" s="8" t="s">
        <v>26</v>
      </c>
      <c r="D788" s="8" t="s">
        <v>29</v>
      </c>
      <c r="E788" s="8" t="s">
        <v>14</v>
      </c>
      <c r="F788" s="8" t="s">
        <v>15</v>
      </c>
      <c r="G788" s="7">
        <v>6</v>
      </c>
      <c r="H788" s="7">
        <v>9908</v>
      </c>
      <c r="I788" s="7">
        <v>11450</v>
      </c>
      <c r="J788" s="7">
        <f t="shared" si="36"/>
        <v>59448</v>
      </c>
      <c r="K788" s="7">
        <f t="shared" si="37"/>
        <v>68700</v>
      </c>
      <c r="L788" s="8">
        <f t="shared" si="38"/>
        <v>9252</v>
      </c>
    </row>
    <row r="789" spans="1:12" x14ac:dyDescent="0.3">
      <c r="A789" s="8" t="s">
        <v>821</v>
      </c>
      <c r="B789" s="9">
        <v>45714</v>
      </c>
      <c r="C789" s="8" t="s">
        <v>23</v>
      </c>
      <c r="D789" s="8" t="s">
        <v>17</v>
      </c>
      <c r="E789" s="8" t="s">
        <v>18</v>
      </c>
      <c r="F789" s="8" t="s">
        <v>28</v>
      </c>
      <c r="G789" s="7">
        <v>5</v>
      </c>
      <c r="H789" s="7">
        <v>16475</v>
      </c>
      <c r="I789" s="7">
        <v>24802</v>
      </c>
      <c r="J789" s="7">
        <f t="shared" si="36"/>
        <v>82375</v>
      </c>
      <c r="K789" s="7">
        <f t="shared" si="37"/>
        <v>124010</v>
      </c>
      <c r="L789" s="8">
        <f t="shared" si="38"/>
        <v>41635</v>
      </c>
    </row>
    <row r="790" spans="1:12" x14ac:dyDescent="0.3">
      <c r="A790" s="8" t="s">
        <v>822</v>
      </c>
      <c r="B790" s="9">
        <v>45715</v>
      </c>
      <c r="C790" s="8" t="s">
        <v>26</v>
      </c>
      <c r="D790" s="8" t="s">
        <v>13</v>
      </c>
      <c r="E790" s="8" t="s">
        <v>14</v>
      </c>
      <c r="F790" s="8" t="s">
        <v>15</v>
      </c>
      <c r="G790" s="7">
        <v>9</v>
      </c>
      <c r="H790" s="7">
        <v>6368</v>
      </c>
      <c r="I790" s="7">
        <v>13954</v>
      </c>
      <c r="J790" s="7">
        <f t="shared" si="36"/>
        <v>57312</v>
      </c>
      <c r="K790" s="7">
        <f t="shared" si="37"/>
        <v>125586</v>
      </c>
      <c r="L790" s="8">
        <f t="shared" si="38"/>
        <v>68274</v>
      </c>
    </row>
    <row r="791" spans="1:12" x14ac:dyDescent="0.3">
      <c r="A791" s="8" t="s">
        <v>823</v>
      </c>
      <c r="B791" s="9">
        <v>45716</v>
      </c>
      <c r="C791" s="8" t="s">
        <v>16</v>
      </c>
      <c r="D791" s="8" t="s">
        <v>29</v>
      </c>
      <c r="E791" s="8" t="s">
        <v>14</v>
      </c>
      <c r="F791" s="8" t="s">
        <v>20</v>
      </c>
      <c r="G791" s="7">
        <v>5</v>
      </c>
      <c r="H791" s="7">
        <v>26203</v>
      </c>
      <c r="I791" s="7">
        <v>32651</v>
      </c>
      <c r="J791" s="7">
        <f t="shared" si="36"/>
        <v>131015</v>
      </c>
      <c r="K791" s="7">
        <f t="shared" si="37"/>
        <v>163255</v>
      </c>
      <c r="L791" s="8">
        <f t="shared" si="38"/>
        <v>32240</v>
      </c>
    </row>
    <row r="792" spans="1:12" x14ac:dyDescent="0.3">
      <c r="A792" s="8" t="s">
        <v>824</v>
      </c>
      <c r="B792" s="9">
        <v>45717</v>
      </c>
      <c r="C792" s="8" t="s">
        <v>26</v>
      </c>
      <c r="D792" s="8" t="s">
        <v>13</v>
      </c>
      <c r="E792" s="8" t="s">
        <v>14</v>
      </c>
      <c r="F792" s="8" t="s">
        <v>22</v>
      </c>
      <c r="G792" s="7">
        <v>10</v>
      </c>
      <c r="H792" s="7">
        <v>15749</v>
      </c>
      <c r="I792" s="7">
        <v>24248</v>
      </c>
      <c r="J792" s="7">
        <f t="shared" si="36"/>
        <v>157490</v>
      </c>
      <c r="K792" s="7">
        <f t="shared" si="37"/>
        <v>242480</v>
      </c>
      <c r="L792" s="8">
        <f t="shared" si="38"/>
        <v>84990</v>
      </c>
    </row>
    <row r="793" spans="1:12" x14ac:dyDescent="0.3">
      <c r="A793" s="8" t="s">
        <v>825</v>
      </c>
      <c r="B793" s="9">
        <v>45718</v>
      </c>
      <c r="C793" s="8" t="s">
        <v>16</v>
      </c>
      <c r="D793" s="8" t="s">
        <v>17</v>
      </c>
      <c r="E793" s="8" t="s">
        <v>14</v>
      </c>
      <c r="F793" s="8" t="s">
        <v>20</v>
      </c>
      <c r="G793" s="7">
        <v>6</v>
      </c>
      <c r="H793" s="7">
        <v>28614</v>
      </c>
      <c r="I793" s="7">
        <v>34277</v>
      </c>
      <c r="J793" s="7">
        <f t="shared" si="36"/>
        <v>171684</v>
      </c>
      <c r="K793" s="7">
        <f t="shared" si="37"/>
        <v>205662</v>
      </c>
      <c r="L793" s="8">
        <f t="shared" si="38"/>
        <v>33978</v>
      </c>
    </row>
    <row r="794" spans="1:12" x14ac:dyDescent="0.3">
      <c r="A794" s="8" t="s">
        <v>826</v>
      </c>
      <c r="B794" s="9">
        <v>45719</v>
      </c>
      <c r="C794" s="8" t="s">
        <v>23</v>
      </c>
      <c r="D794" s="8" t="s">
        <v>27</v>
      </c>
      <c r="E794" s="8" t="s">
        <v>14</v>
      </c>
      <c r="F794" s="8" t="s">
        <v>15</v>
      </c>
      <c r="G794" s="7">
        <v>1</v>
      </c>
      <c r="H794" s="7">
        <v>26860</v>
      </c>
      <c r="I794" s="7">
        <v>34641</v>
      </c>
      <c r="J794" s="7">
        <f t="shared" si="36"/>
        <v>26860</v>
      </c>
      <c r="K794" s="7">
        <f t="shared" si="37"/>
        <v>34641</v>
      </c>
      <c r="L794" s="8">
        <f t="shared" si="38"/>
        <v>7781</v>
      </c>
    </row>
    <row r="795" spans="1:12" x14ac:dyDescent="0.3">
      <c r="A795" s="8" t="s">
        <v>827</v>
      </c>
      <c r="B795" s="9">
        <v>45720</v>
      </c>
      <c r="C795" s="8" t="s">
        <v>16</v>
      </c>
      <c r="D795" s="8" t="s">
        <v>24</v>
      </c>
      <c r="E795" s="8" t="s">
        <v>18</v>
      </c>
      <c r="F795" s="8" t="s">
        <v>25</v>
      </c>
      <c r="G795" s="7">
        <v>8</v>
      </c>
      <c r="H795" s="7">
        <v>32624</v>
      </c>
      <c r="I795" s="7">
        <v>40754</v>
      </c>
      <c r="J795" s="7">
        <f t="shared" si="36"/>
        <v>260992</v>
      </c>
      <c r="K795" s="7">
        <f t="shared" si="37"/>
        <v>326032</v>
      </c>
      <c r="L795" s="8">
        <f t="shared" si="38"/>
        <v>65040</v>
      </c>
    </row>
    <row r="796" spans="1:12" x14ac:dyDescent="0.3">
      <c r="A796" s="8" t="s">
        <v>828</v>
      </c>
      <c r="B796" s="9">
        <v>45721</v>
      </c>
      <c r="C796" s="8" t="s">
        <v>26</v>
      </c>
      <c r="D796" s="8" t="s">
        <v>27</v>
      </c>
      <c r="E796" s="8" t="s">
        <v>14</v>
      </c>
      <c r="F796" s="8" t="s">
        <v>22</v>
      </c>
      <c r="G796" s="7">
        <v>6</v>
      </c>
      <c r="H796" s="7">
        <v>10307</v>
      </c>
      <c r="I796" s="7">
        <v>14915</v>
      </c>
      <c r="J796" s="7">
        <f t="shared" si="36"/>
        <v>61842</v>
      </c>
      <c r="K796" s="7">
        <f t="shared" si="37"/>
        <v>89490</v>
      </c>
      <c r="L796" s="8">
        <f t="shared" si="38"/>
        <v>27648</v>
      </c>
    </row>
    <row r="797" spans="1:12" x14ac:dyDescent="0.3">
      <c r="A797" s="8" t="s">
        <v>829</v>
      </c>
      <c r="B797" s="9">
        <v>45722</v>
      </c>
      <c r="C797" s="8" t="s">
        <v>23</v>
      </c>
      <c r="D797" s="8" t="s">
        <v>27</v>
      </c>
      <c r="E797" s="8" t="s">
        <v>18</v>
      </c>
      <c r="F797" s="8" t="s">
        <v>28</v>
      </c>
      <c r="G797" s="7">
        <v>1</v>
      </c>
      <c r="H797" s="7">
        <v>9932</v>
      </c>
      <c r="I797" s="7">
        <v>16330</v>
      </c>
      <c r="J797" s="7">
        <f t="shared" si="36"/>
        <v>9932</v>
      </c>
      <c r="K797" s="7">
        <f t="shared" si="37"/>
        <v>16330</v>
      </c>
      <c r="L797" s="8">
        <f t="shared" si="38"/>
        <v>6398</v>
      </c>
    </row>
    <row r="798" spans="1:12" x14ac:dyDescent="0.3">
      <c r="A798" s="8" t="s">
        <v>830</v>
      </c>
      <c r="B798" s="9">
        <v>45723</v>
      </c>
      <c r="C798" s="8" t="s">
        <v>12</v>
      </c>
      <c r="D798" s="8" t="s">
        <v>17</v>
      </c>
      <c r="E798" s="8" t="s">
        <v>18</v>
      </c>
      <c r="F798" s="8" t="s">
        <v>28</v>
      </c>
      <c r="G798" s="7">
        <v>9</v>
      </c>
      <c r="H798" s="7">
        <v>5092</v>
      </c>
      <c r="I798" s="7">
        <v>14487</v>
      </c>
      <c r="J798" s="7">
        <f t="shared" si="36"/>
        <v>45828</v>
      </c>
      <c r="K798" s="7">
        <f t="shared" si="37"/>
        <v>130383</v>
      </c>
      <c r="L798" s="8">
        <f t="shared" si="38"/>
        <v>84555</v>
      </c>
    </row>
    <row r="799" spans="1:12" x14ac:dyDescent="0.3">
      <c r="A799" s="8" t="s">
        <v>831</v>
      </c>
      <c r="B799" s="9">
        <v>45724</v>
      </c>
      <c r="C799" s="8" t="s">
        <v>16</v>
      </c>
      <c r="D799" s="8" t="s">
        <v>27</v>
      </c>
      <c r="E799" s="8" t="s">
        <v>18</v>
      </c>
      <c r="F799" s="8" t="s">
        <v>19</v>
      </c>
      <c r="G799" s="7">
        <v>6</v>
      </c>
      <c r="H799" s="7">
        <v>39336</v>
      </c>
      <c r="I799" s="7">
        <v>41136</v>
      </c>
      <c r="J799" s="7">
        <f t="shared" si="36"/>
        <v>236016</v>
      </c>
      <c r="K799" s="7">
        <f t="shared" si="37"/>
        <v>246816</v>
      </c>
      <c r="L799" s="8">
        <f t="shared" si="38"/>
        <v>10800</v>
      </c>
    </row>
    <row r="800" spans="1:12" x14ac:dyDescent="0.3">
      <c r="A800" s="8" t="s">
        <v>832</v>
      </c>
      <c r="B800" s="9">
        <v>45725</v>
      </c>
      <c r="C800" s="8" t="s">
        <v>23</v>
      </c>
      <c r="D800" s="8" t="s">
        <v>13</v>
      </c>
      <c r="E800" s="8" t="s">
        <v>14</v>
      </c>
      <c r="F800" s="8" t="s">
        <v>15</v>
      </c>
      <c r="G800" s="7">
        <v>2</v>
      </c>
      <c r="H800" s="7">
        <v>21418</v>
      </c>
      <c r="I800" s="7">
        <v>29524</v>
      </c>
      <c r="J800" s="7">
        <f t="shared" si="36"/>
        <v>42836</v>
      </c>
      <c r="K800" s="7">
        <f t="shared" si="37"/>
        <v>59048</v>
      </c>
      <c r="L800" s="8">
        <f t="shared" si="38"/>
        <v>16212</v>
      </c>
    </row>
    <row r="801" spans="1:12" x14ac:dyDescent="0.3">
      <c r="A801" s="8" t="s">
        <v>833</v>
      </c>
      <c r="B801" s="9">
        <v>45726</v>
      </c>
      <c r="C801" s="8" t="s">
        <v>12</v>
      </c>
      <c r="D801" s="8" t="s">
        <v>29</v>
      </c>
      <c r="E801" s="8" t="s">
        <v>18</v>
      </c>
      <c r="F801" s="8" t="s">
        <v>28</v>
      </c>
      <c r="G801" s="7">
        <v>3</v>
      </c>
      <c r="H801" s="7">
        <v>15055</v>
      </c>
      <c r="I801" s="7">
        <v>21282</v>
      </c>
      <c r="J801" s="7">
        <f t="shared" si="36"/>
        <v>45165</v>
      </c>
      <c r="K801" s="7">
        <f t="shared" si="37"/>
        <v>63846</v>
      </c>
      <c r="L801" s="8">
        <f t="shared" si="38"/>
        <v>18681</v>
      </c>
    </row>
    <row r="802" spans="1:12" x14ac:dyDescent="0.3">
      <c r="A802" s="8" t="s">
        <v>834</v>
      </c>
      <c r="B802" s="9">
        <v>45727</v>
      </c>
      <c r="C802" s="8" t="s">
        <v>16</v>
      </c>
      <c r="D802" s="8" t="s">
        <v>29</v>
      </c>
      <c r="E802" s="8" t="s">
        <v>18</v>
      </c>
      <c r="F802" s="8" t="s">
        <v>25</v>
      </c>
      <c r="G802" s="7">
        <v>4</v>
      </c>
      <c r="H802" s="7">
        <v>31222</v>
      </c>
      <c r="I802" s="7">
        <v>35326</v>
      </c>
      <c r="J802" s="7">
        <f t="shared" si="36"/>
        <v>124888</v>
      </c>
      <c r="K802" s="7">
        <f t="shared" si="37"/>
        <v>141304</v>
      </c>
      <c r="L802" s="8">
        <f t="shared" si="38"/>
        <v>16416</v>
      </c>
    </row>
    <row r="803" spans="1:12" x14ac:dyDescent="0.3">
      <c r="A803" s="8" t="s">
        <v>835</v>
      </c>
      <c r="B803" s="9">
        <v>45728</v>
      </c>
      <c r="C803" s="8" t="s">
        <v>26</v>
      </c>
      <c r="D803" s="8" t="s">
        <v>21</v>
      </c>
      <c r="E803" s="8" t="s">
        <v>14</v>
      </c>
      <c r="F803" s="8" t="s">
        <v>15</v>
      </c>
      <c r="G803" s="7">
        <v>9</v>
      </c>
      <c r="H803" s="7">
        <v>36428</v>
      </c>
      <c r="I803" s="7">
        <v>44213</v>
      </c>
      <c r="J803" s="7">
        <f t="shared" si="36"/>
        <v>327852</v>
      </c>
      <c r="K803" s="7">
        <f t="shared" si="37"/>
        <v>397917</v>
      </c>
      <c r="L803" s="8">
        <f t="shared" si="38"/>
        <v>70065</v>
      </c>
    </row>
    <row r="804" spans="1:12" x14ac:dyDescent="0.3">
      <c r="A804" s="8" t="s">
        <v>836</v>
      </c>
      <c r="B804" s="9">
        <v>45729</v>
      </c>
      <c r="C804" s="8" t="s">
        <v>23</v>
      </c>
      <c r="D804" s="8" t="s">
        <v>21</v>
      </c>
      <c r="E804" s="8" t="s">
        <v>18</v>
      </c>
      <c r="F804" s="8" t="s">
        <v>28</v>
      </c>
      <c r="G804" s="7">
        <v>7</v>
      </c>
      <c r="H804" s="7">
        <v>28791</v>
      </c>
      <c r="I804" s="7">
        <v>36340</v>
      </c>
      <c r="J804" s="7">
        <f t="shared" si="36"/>
        <v>201537</v>
      </c>
      <c r="K804" s="7">
        <f t="shared" si="37"/>
        <v>254380</v>
      </c>
      <c r="L804" s="8">
        <f t="shared" si="38"/>
        <v>52843</v>
      </c>
    </row>
    <row r="805" spans="1:12" x14ac:dyDescent="0.3">
      <c r="A805" s="8" t="s">
        <v>837</v>
      </c>
      <c r="B805" s="9">
        <v>45730</v>
      </c>
      <c r="C805" s="8" t="s">
        <v>23</v>
      </c>
      <c r="D805" s="8" t="s">
        <v>17</v>
      </c>
      <c r="E805" s="8" t="s">
        <v>18</v>
      </c>
      <c r="F805" s="8" t="s">
        <v>19</v>
      </c>
      <c r="G805" s="7">
        <v>1</v>
      </c>
      <c r="H805" s="7">
        <v>23560</v>
      </c>
      <c r="I805" s="7">
        <v>24203</v>
      </c>
      <c r="J805" s="7">
        <f t="shared" si="36"/>
        <v>23560</v>
      </c>
      <c r="K805" s="7">
        <f t="shared" si="37"/>
        <v>24203</v>
      </c>
      <c r="L805" s="8">
        <f t="shared" si="38"/>
        <v>643</v>
      </c>
    </row>
    <row r="806" spans="1:12" x14ac:dyDescent="0.3">
      <c r="A806" s="8" t="s">
        <v>838</v>
      </c>
      <c r="B806" s="9">
        <v>45731</v>
      </c>
      <c r="C806" s="8" t="s">
        <v>16</v>
      </c>
      <c r="D806" s="8" t="s">
        <v>24</v>
      </c>
      <c r="E806" s="8" t="s">
        <v>18</v>
      </c>
      <c r="F806" s="8" t="s">
        <v>25</v>
      </c>
      <c r="G806" s="7">
        <v>1</v>
      </c>
      <c r="H806" s="7">
        <v>25737</v>
      </c>
      <c r="I806" s="7">
        <v>31346</v>
      </c>
      <c r="J806" s="7">
        <f t="shared" si="36"/>
        <v>25737</v>
      </c>
      <c r="K806" s="7">
        <f t="shared" si="37"/>
        <v>31346</v>
      </c>
      <c r="L806" s="8">
        <f t="shared" si="38"/>
        <v>5609</v>
      </c>
    </row>
    <row r="807" spans="1:12" x14ac:dyDescent="0.3">
      <c r="A807" s="8" t="s">
        <v>839</v>
      </c>
      <c r="B807" s="9">
        <v>45732</v>
      </c>
      <c r="C807" s="8" t="s">
        <v>23</v>
      </c>
      <c r="D807" s="8" t="s">
        <v>29</v>
      </c>
      <c r="E807" s="8" t="s">
        <v>14</v>
      </c>
      <c r="F807" s="8" t="s">
        <v>22</v>
      </c>
      <c r="G807" s="7">
        <v>1</v>
      </c>
      <c r="H807" s="7">
        <v>13415</v>
      </c>
      <c r="I807" s="7">
        <v>19241</v>
      </c>
      <c r="J807" s="7">
        <f t="shared" si="36"/>
        <v>13415</v>
      </c>
      <c r="K807" s="7">
        <f t="shared" si="37"/>
        <v>19241</v>
      </c>
      <c r="L807" s="8">
        <f t="shared" si="38"/>
        <v>5826</v>
      </c>
    </row>
    <row r="808" spans="1:12" x14ac:dyDescent="0.3">
      <c r="A808" s="8" t="s">
        <v>840</v>
      </c>
      <c r="B808" s="9">
        <v>45733</v>
      </c>
      <c r="C808" s="8" t="s">
        <v>12</v>
      </c>
      <c r="D808" s="8" t="s">
        <v>29</v>
      </c>
      <c r="E808" s="8" t="s">
        <v>18</v>
      </c>
      <c r="F808" s="8" t="s">
        <v>28</v>
      </c>
      <c r="G808" s="7">
        <v>2</v>
      </c>
      <c r="H808" s="7">
        <v>17704</v>
      </c>
      <c r="I808" s="7">
        <v>25263</v>
      </c>
      <c r="J808" s="7">
        <f t="shared" si="36"/>
        <v>35408</v>
      </c>
      <c r="K808" s="7">
        <f t="shared" si="37"/>
        <v>50526</v>
      </c>
      <c r="L808" s="8">
        <f t="shared" si="38"/>
        <v>15118</v>
      </c>
    </row>
    <row r="809" spans="1:12" x14ac:dyDescent="0.3">
      <c r="A809" s="8" t="s">
        <v>841</v>
      </c>
      <c r="B809" s="9">
        <v>45734</v>
      </c>
      <c r="C809" s="8" t="s">
        <v>16</v>
      </c>
      <c r="D809" s="8" t="s">
        <v>17</v>
      </c>
      <c r="E809" s="8" t="s">
        <v>14</v>
      </c>
      <c r="F809" s="8" t="s">
        <v>15</v>
      </c>
      <c r="G809" s="7">
        <v>1</v>
      </c>
      <c r="H809" s="7">
        <v>17561</v>
      </c>
      <c r="I809" s="7">
        <v>24203</v>
      </c>
      <c r="J809" s="7">
        <f t="shared" si="36"/>
        <v>17561</v>
      </c>
      <c r="K809" s="7">
        <f t="shared" si="37"/>
        <v>24203</v>
      </c>
      <c r="L809" s="8">
        <f t="shared" si="38"/>
        <v>6642</v>
      </c>
    </row>
    <row r="810" spans="1:12" x14ac:dyDescent="0.3">
      <c r="A810" s="8" t="s">
        <v>842</v>
      </c>
      <c r="B810" s="9">
        <v>45735</v>
      </c>
      <c r="C810" s="8" t="s">
        <v>26</v>
      </c>
      <c r="D810" s="8" t="s">
        <v>17</v>
      </c>
      <c r="E810" s="8" t="s">
        <v>14</v>
      </c>
      <c r="F810" s="8" t="s">
        <v>20</v>
      </c>
      <c r="G810" s="7">
        <v>10</v>
      </c>
      <c r="H810" s="7">
        <v>26390</v>
      </c>
      <c r="I810" s="7">
        <v>35766</v>
      </c>
      <c r="J810" s="7">
        <f t="shared" si="36"/>
        <v>263900</v>
      </c>
      <c r="K810" s="7">
        <f t="shared" si="37"/>
        <v>357660</v>
      </c>
      <c r="L810" s="8">
        <f t="shared" si="38"/>
        <v>93760</v>
      </c>
    </row>
    <row r="811" spans="1:12" x14ac:dyDescent="0.3">
      <c r="A811" s="8" t="s">
        <v>843</v>
      </c>
      <c r="B811" s="9">
        <v>45736</v>
      </c>
      <c r="C811" s="8" t="s">
        <v>12</v>
      </c>
      <c r="D811" s="8" t="s">
        <v>13</v>
      </c>
      <c r="E811" s="8" t="s">
        <v>14</v>
      </c>
      <c r="F811" s="8" t="s">
        <v>22</v>
      </c>
      <c r="G811" s="7">
        <v>1</v>
      </c>
      <c r="H811" s="7">
        <v>14303</v>
      </c>
      <c r="I811" s="7">
        <v>21925</v>
      </c>
      <c r="J811" s="7">
        <f t="shared" si="36"/>
        <v>14303</v>
      </c>
      <c r="K811" s="7">
        <f t="shared" si="37"/>
        <v>21925</v>
      </c>
      <c r="L811" s="8">
        <f t="shared" si="38"/>
        <v>7622</v>
      </c>
    </row>
    <row r="812" spans="1:12" x14ac:dyDescent="0.3">
      <c r="A812" s="8" t="s">
        <v>844</v>
      </c>
      <c r="B812" s="9">
        <v>45737</v>
      </c>
      <c r="C812" s="8" t="s">
        <v>12</v>
      </c>
      <c r="D812" s="8" t="s">
        <v>17</v>
      </c>
      <c r="E812" s="8" t="s">
        <v>14</v>
      </c>
      <c r="F812" s="8" t="s">
        <v>20</v>
      </c>
      <c r="G812" s="7">
        <v>1</v>
      </c>
      <c r="H812" s="7">
        <v>20070</v>
      </c>
      <c r="I812" s="7">
        <v>21257</v>
      </c>
      <c r="J812" s="7">
        <f t="shared" si="36"/>
        <v>20070</v>
      </c>
      <c r="K812" s="7">
        <f t="shared" si="37"/>
        <v>21257</v>
      </c>
      <c r="L812" s="8">
        <f t="shared" si="38"/>
        <v>1187</v>
      </c>
    </row>
    <row r="813" spans="1:12" x14ac:dyDescent="0.3">
      <c r="A813" s="8" t="s">
        <v>845</v>
      </c>
      <c r="B813" s="9">
        <v>45738</v>
      </c>
      <c r="C813" s="8" t="s">
        <v>26</v>
      </c>
      <c r="D813" s="8" t="s">
        <v>27</v>
      </c>
      <c r="E813" s="8" t="s">
        <v>18</v>
      </c>
      <c r="F813" s="8" t="s">
        <v>19</v>
      </c>
      <c r="G813" s="7">
        <v>3</v>
      </c>
      <c r="H813" s="7">
        <v>14529</v>
      </c>
      <c r="I813" s="7">
        <v>16875</v>
      </c>
      <c r="J813" s="7">
        <f t="shared" si="36"/>
        <v>43587</v>
      </c>
      <c r="K813" s="7">
        <f t="shared" si="37"/>
        <v>50625</v>
      </c>
      <c r="L813" s="8">
        <f t="shared" si="38"/>
        <v>7038</v>
      </c>
    </row>
    <row r="814" spans="1:12" x14ac:dyDescent="0.3">
      <c r="A814" s="8" t="s">
        <v>846</v>
      </c>
      <c r="B814" s="9">
        <v>45739</v>
      </c>
      <c r="C814" s="8" t="s">
        <v>12</v>
      </c>
      <c r="D814" s="8" t="s">
        <v>29</v>
      </c>
      <c r="E814" s="8" t="s">
        <v>14</v>
      </c>
      <c r="F814" s="8" t="s">
        <v>20</v>
      </c>
      <c r="G814" s="7">
        <v>5</v>
      </c>
      <c r="H814" s="7">
        <v>36282</v>
      </c>
      <c r="I814" s="7">
        <v>41513</v>
      </c>
      <c r="J814" s="7">
        <f t="shared" si="36"/>
        <v>181410</v>
      </c>
      <c r="K814" s="7">
        <f t="shared" si="37"/>
        <v>207565</v>
      </c>
      <c r="L814" s="8">
        <f t="shared" si="38"/>
        <v>26155</v>
      </c>
    </row>
    <row r="815" spans="1:12" x14ac:dyDescent="0.3">
      <c r="A815" s="8" t="s">
        <v>847</v>
      </c>
      <c r="B815" s="9">
        <v>45740</v>
      </c>
      <c r="C815" s="8" t="s">
        <v>23</v>
      </c>
      <c r="D815" s="8" t="s">
        <v>24</v>
      </c>
      <c r="E815" s="8" t="s">
        <v>14</v>
      </c>
      <c r="F815" s="8" t="s">
        <v>15</v>
      </c>
      <c r="G815" s="7">
        <v>8</v>
      </c>
      <c r="H815" s="7">
        <v>11839</v>
      </c>
      <c r="I815" s="7">
        <v>13378</v>
      </c>
      <c r="J815" s="7">
        <f t="shared" si="36"/>
        <v>94712</v>
      </c>
      <c r="K815" s="7">
        <f t="shared" si="37"/>
        <v>107024</v>
      </c>
      <c r="L815" s="8">
        <f t="shared" si="38"/>
        <v>12312</v>
      </c>
    </row>
    <row r="816" spans="1:12" x14ac:dyDescent="0.3">
      <c r="A816" s="8" t="s">
        <v>848</v>
      </c>
      <c r="B816" s="9">
        <v>45741</v>
      </c>
      <c r="C816" s="8" t="s">
        <v>12</v>
      </c>
      <c r="D816" s="8" t="s">
        <v>17</v>
      </c>
      <c r="E816" s="8" t="s">
        <v>14</v>
      </c>
      <c r="F816" s="8" t="s">
        <v>20</v>
      </c>
      <c r="G816" s="7">
        <v>4</v>
      </c>
      <c r="H816" s="7">
        <v>19257</v>
      </c>
      <c r="I816" s="7">
        <v>20270</v>
      </c>
      <c r="J816" s="7">
        <f t="shared" si="36"/>
        <v>77028</v>
      </c>
      <c r="K816" s="7">
        <f t="shared" si="37"/>
        <v>81080</v>
      </c>
      <c r="L816" s="8">
        <f t="shared" si="38"/>
        <v>4052</v>
      </c>
    </row>
    <row r="817" spans="1:12" x14ac:dyDescent="0.3">
      <c r="A817" s="8" t="s">
        <v>849</v>
      </c>
      <c r="B817" s="9">
        <v>45742</v>
      </c>
      <c r="C817" s="8" t="s">
        <v>23</v>
      </c>
      <c r="D817" s="8" t="s">
        <v>17</v>
      </c>
      <c r="E817" s="8" t="s">
        <v>18</v>
      </c>
      <c r="F817" s="8" t="s">
        <v>28</v>
      </c>
      <c r="G817" s="7">
        <v>1</v>
      </c>
      <c r="H817" s="7">
        <v>11655</v>
      </c>
      <c r="I817" s="7">
        <v>17277</v>
      </c>
      <c r="J817" s="7">
        <f t="shared" si="36"/>
        <v>11655</v>
      </c>
      <c r="K817" s="7">
        <f t="shared" si="37"/>
        <v>17277</v>
      </c>
      <c r="L817" s="8">
        <f t="shared" si="38"/>
        <v>5622</v>
      </c>
    </row>
    <row r="818" spans="1:12" x14ac:dyDescent="0.3">
      <c r="A818" s="8" t="s">
        <v>850</v>
      </c>
      <c r="B818" s="9">
        <v>45743</v>
      </c>
      <c r="C818" s="8" t="s">
        <v>26</v>
      </c>
      <c r="D818" s="8" t="s">
        <v>24</v>
      </c>
      <c r="E818" s="8" t="s">
        <v>14</v>
      </c>
      <c r="F818" s="8" t="s">
        <v>20</v>
      </c>
      <c r="G818" s="7">
        <v>6</v>
      </c>
      <c r="H818" s="7">
        <v>37692</v>
      </c>
      <c r="I818" s="7">
        <v>44462</v>
      </c>
      <c r="J818" s="7">
        <f t="shared" si="36"/>
        <v>226152</v>
      </c>
      <c r="K818" s="7">
        <f t="shared" si="37"/>
        <v>266772</v>
      </c>
      <c r="L818" s="8">
        <f t="shared" si="38"/>
        <v>40620</v>
      </c>
    </row>
    <row r="819" spans="1:12" x14ac:dyDescent="0.3">
      <c r="A819" s="8" t="s">
        <v>851</v>
      </c>
      <c r="B819" s="9">
        <v>45744</v>
      </c>
      <c r="C819" s="8" t="s">
        <v>26</v>
      </c>
      <c r="D819" s="8" t="s">
        <v>27</v>
      </c>
      <c r="E819" s="8" t="s">
        <v>18</v>
      </c>
      <c r="F819" s="8" t="s">
        <v>25</v>
      </c>
      <c r="G819" s="7">
        <v>3</v>
      </c>
      <c r="H819" s="7">
        <v>29548</v>
      </c>
      <c r="I819" s="7">
        <v>31567</v>
      </c>
      <c r="J819" s="7">
        <f t="shared" si="36"/>
        <v>88644</v>
      </c>
      <c r="K819" s="7">
        <f t="shared" si="37"/>
        <v>94701</v>
      </c>
      <c r="L819" s="8">
        <f t="shared" si="38"/>
        <v>6057</v>
      </c>
    </row>
    <row r="820" spans="1:12" x14ac:dyDescent="0.3">
      <c r="A820" s="8" t="s">
        <v>852</v>
      </c>
      <c r="B820" s="9">
        <v>45745</v>
      </c>
      <c r="C820" s="8" t="s">
        <v>12</v>
      </c>
      <c r="D820" s="8" t="s">
        <v>27</v>
      </c>
      <c r="E820" s="8" t="s">
        <v>14</v>
      </c>
      <c r="F820" s="8" t="s">
        <v>15</v>
      </c>
      <c r="G820" s="7">
        <v>3</v>
      </c>
      <c r="H820" s="7">
        <v>25810</v>
      </c>
      <c r="I820" s="7">
        <v>35054</v>
      </c>
      <c r="J820" s="7">
        <f t="shared" si="36"/>
        <v>77430</v>
      </c>
      <c r="K820" s="7">
        <f t="shared" si="37"/>
        <v>105162</v>
      </c>
      <c r="L820" s="8">
        <f t="shared" si="38"/>
        <v>27732</v>
      </c>
    </row>
    <row r="821" spans="1:12" x14ac:dyDescent="0.3">
      <c r="A821" s="8" t="s">
        <v>853</v>
      </c>
      <c r="B821" s="9">
        <v>45746</v>
      </c>
      <c r="C821" s="8" t="s">
        <v>12</v>
      </c>
      <c r="D821" s="8" t="s">
        <v>27</v>
      </c>
      <c r="E821" s="8" t="s">
        <v>14</v>
      </c>
      <c r="F821" s="8" t="s">
        <v>22</v>
      </c>
      <c r="G821" s="7">
        <v>4</v>
      </c>
      <c r="H821" s="7">
        <v>14123</v>
      </c>
      <c r="I821" s="7">
        <v>19999</v>
      </c>
      <c r="J821" s="7">
        <f t="shared" si="36"/>
        <v>56492</v>
      </c>
      <c r="K821" s="7">
        <f t="shared" si="37"/>
        <v>79996</v>
      </c>
      <c r="L821" s="8">
        <f t="shared" si="38"/>
        <v>23504</v>
      </c>
    </row>
    <row r="822" spans="1:12" x14ac:dyDescent="0.3">
      <c r="A822" s="8" t="s">
        <v>854</v>
      </c>
      <c r="B822" s="9">
        <v>45747</v>
      </c>
      <c r="C822" s="8" t="s">
        <v>16</v>
      </c>
      <c r="D822" s="8" t="s">
        <v>29</v>
      </c>
      <c r="E822" s="8" t="s">
        <v>18</v>
      </c>
      <c r="F822" s="8" t="s">
        <v>25</v>
      </c>
      <c r="G822" s="7">
        <v>2</v>
      </c>
      <c r="H822" s="7">
        <v>22037</v>
      </c>
      <c r="I822" s="7">
        <v>26778</v>
      </c>
      <c r="J822" s="7">
        <f t="shared" si="36"/>
        <v>44074</v>
      </c>
      <c r="K822" s="7">
        <f t="shared" si="37"/>
        <v>53556</v>
      </c>
      <c r="L822" s="8">
        <f t="shared" si="38"/>
        <v>9482</v>
      </c>
    </row>
    <row r="823" spans="1:12" x14ac:dyDescent="0.3">
      <c r="A823" s="8" t="s">
        <v>855</v>
      </c>
      <c r="B823" s="9">
        <v>45748</v>
      </c>
      <c r="C823" s="8" t="s">
        <v>26</v>
      </c>
      <c r="D823" s="8" t="s">
        <v>27</v>
      </c>
      <c r="E823" s="8" t="s">
        <v>14</v>
      </c>
      <c r="F823" s="8" t="s">
        <v>22</v>
      </c>
      <c r="G823" s="7">
        <v>4</v>
      </c>
      <c r="H823" s="7">
        <v>913</v>
      </c>
      <c r="I823" s="7">
        <v>5545</v>
      </c>
      <c r="J823" s="7">
        <f t="shared" si="36"/>
        <v>3652</v>
      </c>
      <c r="K823" s="7">
        <f t="shared" si="37"/>
        <v>22180</v>
      </c>
      <c r="L823" s="8">
        <f t="shared" si="38"/>
        <v>18528</v>
      </c>
    </row>
    <row r="824" spans="1:12" x14ac:dyDescent="0.3">
      <c r="A824" s="8" t="s">
        <v>856</v>
      </c>
      <c r="B824" s="9">
        <v>45749</v>
      </c>
      <c r="C824" s="8" t="s">
        <v>12</v>
      </c>
      <c r="D824" s="8" t="s">
        <v>21</v>
      </c>
      <c r="E824" s="8" t="s">
        <v>14</v>
      </c>
      <c r="F824" s="8" t="s">
        <v>15</v>
      </c>
      <c r="G824" s="7">
        <v>4</v>
      </c>
      <c r="H824" s="7">
        <v>38180</v>
      </c>
      <c r="I824" s="7">
        <v>43378</v>
      </c>
      <c r="J824" s="7">
        <f t="shared" si="36"/>
        <v>152720</v>
      </c>
      <c r="K824" s="7">
        <f t="shared" si="37"/>
        <v>173512</v>
      </c>
      <c r="L824" s="8">
        <f t="shared" si="38"/>
        <v>20792</v>
      </c>
    </row>
    <row r="825" spans="1:12" x14ac:dyDescent="0.3">
      <c r="A825" s="8" t="s">
        <v>857</v>
      </c>
      <c r="B825" s="9">
        <v>45750</v>
      </c>
      <c r="C825" s="8" t="s">
        <v>26</v>
      </c>
      <c r="D825" s="8" t="s">
        <v>21</v>
      </c>
      <c r="E825" s="8" t="s">
        <v>18</v>
      </c>
      <c r="F825" s="8" t="s">
        <v>28</v>
      </c>
      <c r="G825" s="7">
        <v>4</v>
      </c>
      <c r="H825" s="7">
        <v>6904</v>
      </c>
      <c r="I825" s="7">
        <v>9856</v>
      </c>
      <c r="J825" s="7">
        <f t="shared" si="36"/>
        <v>27616</v>
      </c>
      <c r="K825" s="7">
        <f t="shared" si="37"/>
        <v>39424</v>
      </c>
      <c r="L825" s="8">
        <f t="shared" si="38"/>
        <v>11808</v>
      </c>
    </row>
    <row r="826" spans="1:12" x14ac:dyDescent="0.3">
      <c r="A826" s="8" t="s">
        <v>858</v>
      </c>
      <c r="B826" s="9">
        <v>45751</v>
      </c>
      <c r="C826" s="8" t="s">
        <v>12</v>
      </c>
      <c r="D826" s="8" t="s">
        <v>29</v>
      </c>
      <c r="E826" s="8" t="s">
        <v>18</v>
      </c>
      <c r="F826" s="8" t="s">
        <v>28</v>
      </c>
      <c r="G826" s="7">
        <v>6</v>
      </c>
      <c r="H826" s="7">
        <v>30008</v>
      </c>
      <c r="I826" s="7">
        <v>35165</v>
      </c>
      <c r="J826" s="7">
        <f t="shared" si="36"/>
        <v>180048</v>
      </c>
      <c r="K826" s="7">
        <f t="shared" si="37"/>
        <v>210990</v>
      </c>
      <c r="L826" s="8">
        <f t="shared" si="38"/>
        <v>30942</v>
      </c>
    </row>
    <row r="827" spans="1:12" x14ac:dyDescent="0.3">
      <c r="A827" s="8" t="s">
        <v>859</v>
      </c>
      <c r="B827" s="9">
        <v>45752</v>
      </c>
      <c r="C827" s="8" t="s">
        <v>12</v>
      </c>
      <c r="D827" s="8" t="s">
        <v>29</v>
      </c>
      <c r="E827" s="8" t="s">
        <v>14</v>
      </c>
      <c r="F827" s="8" t="s">
        <v>22</v>
      </c>
      <c r="G827" s="7">
        <v>1</v>
      </c>
      <c r="H827" s="7">
        <v>17893</v>
      </c>
      <c r="I827" s="7">
        <v>20233</v>
      </c>
      <c r="J827" s="7">
        <f t="shared" si="36"/>
        <v>17893</v>
      </c>
      <c r="K827" s="7">
        <f t="shared" si="37"/>
        <v>20233</v>
      </c>
      <c r="L827" s="8">
        <f t="shared" si="38"/>
        <v>2340</v>
      </c>
    </row>
    <row r="828" spans="1:12" x14ac:dyDescent="0.3">
      <c r="A828" s="8" t="s">
        <v>860</v>
      </c>
      <c r="B828" s="9">
        <v>45753</v>
      </c>
      <c r="C828" s="8" t="s">
        <v>26</v>
      </c>
      <c r="D828" s="8" t="s">
        <v>13</v>
      </c>
      <c r="E828" s="8" t="s">
        <v>14</v>
      </c>
      <c r="F828" s="8" t="s">
        <v>20</v>
      </c>
      <c r="G828" s="7">
        <v>1</v>
      </c>
      <c r="H828" s="7">
        <v>39831</v>
      </c>
      <c r="I828" s="7">
        <v>40281</v>
      </c>
      <c r="J828" s="7">
        <f t="shared" si="36"/>
        <v>39831</v>
      </c>
      <c r="K828" s="7">
        <f t="shared" si="37"/>
        <v>40281</v>
      </c>
      <c r="L828" s="8">
        <f t="shared" si="38"/>
        <v>450</v>
      </c>
    </row>
    <row r="829" spans="1:12" x14ac:dyDescent="0.3">
      <c r="A829" s="8" t="s">
        <v>861</v>
      </c>
      <c r="B829" s="9">
        <v>45754</v>
      </c>
      <c r="C829" s="8" t="s">
        <v>23</v>
      </c>
      <c r="D829" s="8" t="s">
        <v>21</v>
      </c>
      <c r="E829" s="8" t="s">
        <v>18</v>
      </c>
      <c r="F829" s="8" t="s">
        <v>19</v>
      </c>
      <c r="G829" s="7">
        <v>9</v>
      </c>
      <c r="H829" s="7">
        <v>12809</v>
      </c>
      <c r="I829" s="7">
        <v>14722</v>
      </c>
      <c r="J829" s="7">
        <f t="shared" si="36"/>
        <v>115281</v>
      </c>
      <c r="K829" s="7">
        <f t="shared" si="37"/>
        <v>132498</v>
      </c>
      <c r="L829" s="8">
        <f t="shared" si="38"/>
        <v>17217</v>
      </c>
    </row>
    <row r="830" spans="1:12" x14ac:dyDescent="0.3">
      <c r="A830" s="8" t="s">
        <v>862</v>
      </c>
      <c r="B830" s="9">
        <v>45755</v>
      </c>
      <c r="C830" s="8" t="s">
        <v>12</v>
      </c>
      <c r="D830" s="8" t="s">
        <v>21</v>
      </c>
      <c r="E830" s="8" t="s">
        <v>18</v>
      </c>
      <c r="F830" s="8" t="s">
        <v>25</v>
      </c>
      <c r="G830" s="7">
        <v>3</v>
      </c>
      <c r="H830" s="7">
        <v>27763</v>
      </c>
      <c r="I830" s="7">
        <v>31969</v>
      </c>
      <c r="J830" s="7">
        <f t="shared" si="36"/>
        <v>83289</v>
      </c>
      <c r="K830" s="7">
        <f t="shared" si="37"/>
        <v>95907</v>
      </c>
      <c r="L830" s="8">
        <f t="shared" si="38"/>
        <v>12618</v>
      </c>
    </row>
    <row r="831" spans="1:12" x14ac:dyDescent="0.3">
      <c r="A831" s="8" t="s">
        <v>863</v>
      </c>
      <c r="B831" s="9">
        <v>45756</v>
      </c>
      <c r="C831" s="8" t="s">
        <v>23</v>
      </c>
      <c r="D831" s="8" t="s">
        <v>27</v>
      </c>
      <c r="E831" s="8" t="s">
        <v>18</v>
      </c>
      <c r="F831" s="8" t="s">
        <v>28</v>
      </c>
      <c r="G831" s="7">
        <v>7</v>
      </c>
      <c r="H831" s="7">
        <v>28576</v>
      </c>
      <c r="I831" s="7">
        <v>33522</v>
      </c>
      <c r="J831" s="7">
        <f t="shared" si="36"/>
        <v>200032</v>
      </c>
      <c r="K831" s="7">
        <f t="shared" si="37"/>
        <v>234654</v>
      </c>
      <c r="L831" s="8">
        <f t="shared" si="38"/>
        <v>34622</v>
      </c>
    </row>
    <row r="832" spans="1:12" x14ac:dyDescent="0.3">
      <c r="A832" s="8" t="s">
        <v>864</v>
      </c>
      <c r="B832" s="9">
        <v>45757</v>
      </c>
      <c r="C832" s="8" t="s">
        <v>16</v>
      </c>
      <c r="D832" s="8" t="s">
        <v>29</v>
      </c>
      <c r="E832" s="8" t="s">
        <v>18</v>
      </c>
      <c r="F832" s="8" t="s">
        <v>25</v>
      </c>
      <c r="G832" s="7">
        <v>2</v>
      </c>
      <c r="H832" s="7">
        <v>1097</v>
      </c>
      <c r="I832" s="7">
        <v>1409</v>
      </c>
      <c r="J832" s="7">
        <f t="shared" si="36"/>
        <v>2194</v>
      </c>
      <c r="K832" s="7">
        <f t="shared" si="37"/>
        <v>2818</v>
      </c>
      <c r="L832" s="8">
        <f t="shared" si="38"/>
        <v>624</v>
      </c>
    </row>
    <row r="833" spans="1:12" x14ac:dyDescent="0.3">
      <c r="A833" s="8" t="s">
        <v>865</v>
      </c>
      <c r="B833" s="9">
        <v>45758</v>
      </c>
      <c r="C833" s="8" t="s">
        <v>26</v>
      </c>
      <c r="D833" s="8" t="s">
        <v>21</v>
      </c>
      <c r="E833" s="8" t="s">
        <v>18</v>
      </c>
      <c r="F833" s="8" t="s">
        <v>19</v>
      </c>
      <c r="G833" s="7">
        <v>2</v>
      </c>
      <c r="H833" s="7">
        <v>2084</v>
      </c>
      <c r="I833" s="7">
        <v>6054</v>
      </c>
      <c r="J833" s="7">
        <f t="shared" si="36"/>
        <v>4168</v>
      </c>
      <c r="K833" s="7">
        <f t="shared" si="37"/>
        <v>12108</v>
      </c>
      <c r="L833" s="8">
        <f t="shared" si="38"/>
        <v>7940</v>
      </c>
    </row>
    <row r="834" spans="1:12" x14ac:dyDescent="0.3">
      <c r="A834" s="8" t="s">
        <v>866</v>
      </c>
      <c r="B834" s="9">
        <v>45759</v>
      </c>
      <c r="C834" s="8" t="s">
        <v>16</v>
      </c>
      <c r="D834" s="8" t="s">
        <v>29</v>
      </c>
      <c r="E834" s="8" t="s">
        <v>14</v>
      </c>
      <c r="F834" s="8" t="s">
        <v>22</v>
      </c>
      <c r="G834" s="7">
        <v>7</v>
      </c>
      <c r="H834" s="7">
        <v>28168</v>
      </c>
      <c r="I834" s="7">
        <v>35566</v>
      </c>
      <c r="J834" s="7">
        <f t="shared" si="36"/>
        <v>197176</v>
      </c>
      <c r="K834" s="7">
        <f t="shared" si="37"/>
        <v>248962</v>
      </c>
      <c r="L834" s="8">
        <f t="shared" si="38"/>
        <v>51786</v>
      </c>
    </row>
    <row r="835" spans="1:12" x14ac:dyDescent="0.3">
      <c r="A835" s="8" t="s">
        <v>867</v>
      </c>
      <c r="B835" s="9">
        <v>45760</v>
      </c>
      <c r="C835" s="8" t="s">
        <v>26</v>
      </c>
      <c r="D835" s="8" t="s">
        <v>29</v>
      </c>
      <c r="E835" s="8" t="s">
        <v>18</v>
      </c>
      <c r="F835" s="8" t="s">
        <v>19</v>
      </c>
      <c r="G835" s="7">
        <v>6</v>
      </c>
      <c r="H835" s="7">
        <v>26880</v>
      </c>
      <c r="I835" s="7">
        <v>27786</v>
      </c>
      <c r="J835" s="7">
        <f t="shared" ref="J835:J898" si="39">G835*H835</f>
        <v>161280</v>
      </c>
      <c r="K835" s="7">
        <f t="shared" ref="K835:K898" si="40">G835*I835</f>
        <v>166716</v>
      </c>
      <c r="L835" s="8">
        <f t="shared" ref="L835:L898" si="41">(I835-H835)*G835</f>
        <v>5436</v>
      </c>
    </row>
    <row r="836" spans="1:12" x14ac:dyDescent="0.3">
      <c r="A836" s="8" t="s">
        <v>868</v>
      </c>
      <c r="B836" s="9">
        <v>45761</v>
      </c>
      <c r="C836" s="8" t="s">
        <v>16</v>
      </c>
      <c r="D836" s="8" t="s">
        <v>27</v>
      </c>
      <c r="E836" s="8" t="s">
        <v>14</v>
      </c>
      <c r="F836" s="8" t="s">
        <v>20</v>
      </c>
      <c r="G836" s="7">
        <v>6</v>
      </c>
      <c r="H836" s="7">
        <v>19539</v>
      </c>
      <c r="I836" s="7">
        <v>25185</v>
      </c>
      <c r="J836" s="7">
        <f t="shared" si="39"/>
        <v>117234</v>
      </c>
      <c r="K836" s="7">
        <f t="shared" si="40"/>
        <v>151110</v>
      </c>
      <c r="L836" s="8">
        <f t="shared" si="41"/>
        <v>33876</v>
      </c>
    </row>
    <row r="837" spans="1:12" x14ac:dyDescent="0.3">
      <c r="A837" s="8" t="s">
        <v>869</v>
      </c>
      <c r="B837" s="9">
        <v>45762</v>
      </c>
      <c r="C837" s="8" t="s">
        <v>12</v>
      </c>
      <c r="D837" s="8" t="s">
        <v>29</v>
      </c>
      <c r="E837" s="8" t="s">
        <v>14</v>
      </c>
      <c r="F837" s="8" t="s">
        <v>20</v>
      </c>
      <c r="G837" s="7">
        <v>7</v>
      </c>
      <c r="H837" s="7">
        <v>14245</v>
      </c>
      <c r="I837" s="7">
        <v>23063</v>
      </c>
      <c r="J837" s="7">
        <f t="shared" si="39"/>
        <v>99715</v>
      </c>
      <c r="K837" s="7">
        <f t="shared" si="40"/>
        <v>161441</v>
      </c>
      <c r="L837" s="8">
        <f t="shared" si="41"/>
        <v>61726</v>
      </c>
    </row>
    <row r="838" spans="1:12" x14ac:dyDescent="0.3">
      <c r="A838" s="8" t="s">
        <v>870</v>
      </c>
      <c r="B838" s="9">
        <v>45763</v>
      </c>
      <c r="C838" s="8" t="s">
        <v>26</v>
      </c>
      <c r="D838" s="8" t="s">
        <v>13</v>
      </c>
      <c r="E838" s="8" t="s">
        <v>18</v>
      </c>
      <c r="F838" s="8" t="s">
        <v>25</v>
      </c>
      <c r="G838" s="7">
        <v>8</v>
      </c>
      <c r="H838" s="7">
        <v>23772</v>
      </c>
      <c r="I838" s="7">
        <v>30025</v>
      </c>
      <c r="J838" s="7">
        <f t="shared" si="39"/>
        <v>190176</v>
      </c>
      <c r="K838" s="7">
        <f t="shared" si="40"/>
        <v>240200</v>
      </c>
      <c r="L838" s="8">
        <f t="shared" si="41"/>
        <v>50024</v>
      </c>
    </row>
    <row r="839" spans="1:12" x14ac:dyDescent="0.3">
      <c r="A839" s="8" t="s">
        <v>871</v>
      </c>
      <c r="B839" s="9">
        <v>45764</v>
      </c>
      <c r="C839" s="8" t="s">
        <v>26</v>
      </c>
      <c r="D839" s="8" t="s">
        <v>24</v>
      </c>
      <c r="E839" s="8" t="s">
        <v>18</v>
      </c>
      <c r="F839" s="8" t="s">
        <v>28</v>
      </c>
      <c r="G839" s="7">
        <v>8</v>
      </c>
      <c r="H839" s="7">
        <v>31735</v>
      </c>
      <c r="I839" s="7">
        <v>38965</v>
      </c>
      <c r="J839" s="7">
        <f t="shared" si="39"/>
        <v>253880</v>
      </c>
      <c r="K839" s="7">
        <f t="shared" si="40"/>
        <v>311720</v>
      </c>
      <c r="L839" s="8">
        <f t="shared" si="41"/>
        <v>57840</v>
      </c>
    </row>
    <row r="840" spans="1:12" x14ac:dyDescent="0.3">
      <c r="A840" s="8" t="s">
        <v>872</v>
      </c>
      <c r="B840" s="9">
        <v>45765</v>
      </c>
      <c r="C840" s="8" t="s">
        <v>26</v>
      </c>
      <c r="D840" s="8" t="s">
        <v>27</v>
      </c>
      <c r="E840" s="8" t="s">
        <v>14</v>
      </c>
      <c r="F840" s="8" t="s">
        <v>22</v>
      </c>
      <c r="G840" s="7">
        <v>8</v>
      </c>
      <c r="H840" s="7">
        <v>18190</v>
      </c>
      <c r="I840" s="7">
        <v>27524</v>
      </c>
      <c r="J840" s="7">
        <f t="shared" si="39"/>
        <v>145520</v>
      </c>
      <c r="K840" s="7">
        <f t="shared" si="40"/>
        <v>220192</v>
      </c>
      <c r="L840" s="8">
        <f t="shared" si="41"/>
        <v>74672</v>
      </c>
    </row>
    <row r="841" spans="1:12" x14ac:dyDescent="0.3">
      <c r="A841" s="8" t="s">
        <v>873</v>
      </c>
      <c r="B841" s="9">
        <v>45766</v>
      </c>
      <c r="C841" s="8" t="s">
        <v>23</v>
      </c>
      <c r="D841" s="8" t="s">
        <v>27</v>
      </c>
      <c r="E841" s="8" t="s">
        <v>14</v>
      </c>
      <c r="F841" s="8" t="s">
        <v>15</v>
      </c>
      <c r="G841" s="7">
        <v>8</v>
      </c>
      <c r="H841" s="7">
        <v>23890</v>
      </c>
      <c r="I841" s="7">
        <v>25127</v>
      </c>
      <c r="J841" s="7">
        <f t="shared" si="39"/>
        <v>191120</v>
      </c>
      <c r="K841" s="7">
        <f t="shared" si="40"/>
        <v>201016</v>
      </c>
      <c r="L841" s="8">
        <f t="shared" si="41"/>
        <v>9896</v>
      </c>
    </row>
    <row r="842" spans="1:12" x14ac:dyDescent="0.3">
      <c r="A842" s="8" t="s">
        <v>874</v>
      </c>
      <c r="B842" s="9">
        <v>45767</v>
      </c>
      <c r="C842" s="8" t="s">
        <v>12</v>
      </c>
      <c r="D842" s="8" t="s">
        <v>13</v>
      </c>
      <c r="E842" s="8" t="s">
        <v>18</v>
      </c>
      <c r="F842" s="8" t="s">
        <v>28</v>
      </c>
      <c r="G842" s="7">
        <v>2</v>
      </c>
      <c r="H842" s="7">
        <v>21937</v>
      </c>
      <c r="I842" s="7">
        <v>27167</v>
      </c>
      <c r="J842" s="7">
        <f t="shared" si="39"/>
        <v>43874</v>
      </c>
      <c r="K842" s="7">
        <f t="shared" si="40"/>
        <v>54334</v>
      </c>
      <c r="L842" s="8">
        <f t="shared" si="41"/>
        <v>10460</v>
      </c>
    </row>
    <row r="843" spans="1:12" x14ac:dyDescent="0.3">
      <c r="A843" s="8" t="s">
        <v>875</v>
      </c>
      <c r="B843" s="9">
        <v>45768</v>
      </c>
      <c r="C843" s="8" t="s">
        <v>23</v>
      </c>
      <c r="D843" s="8" t="s">
        <v>24</v>
      </c>
      <c r="E843" s="8" t="s">
        <v>14</v>
      </c>
      <c r="F843" s="8" t="s">
        <v>20</v>
      </c>
      <c r="G843" s="7">
        <v>6</v>
      </c>
      <c r="H843" s="7">
        <v>10480</v>
      </c>
      <c r="I843" s="7">
        <v>14377</v>
      </c>
      <c r="J843" s="7">
        <f t="shared" si="39"/>
        <v>62880</v>
      </c>
      <c r="K843" s="7">
        <f t="shared" si="40"/>
        <v>86262</v>
      </c>
      <c r="L843" s="8">
        <f t="shared" si="41"/>
        <v>23382</v>
      </c>
    </row>
    <row r="844" spans="1:12" x14ac:dyDescent="0.3">
      <c r="A844" s="8" t="s">
        <v>876</v>
      </c>
      <c r="B844" s="9">
        <v>45769</v>
      </c>
      <c r="C844" s="8" t="s">
        <v>26</v>
      </c>
      <c r="D844" s="8" t="s">
        <v>21</v>
      </c>
      <c r="E844" s="8" t="s">
        <v>14</v>
      </c>
      <c r="F844" s="8" t="s">
        <v>15</v>
      </c>
      <c r="G844" s="7">
        <v>5</v>
      </c>
      <c r="H844" s="7">
        <v>33063</v>
      </c>
      <c r="I844" s="7">
        <v>34834</v>
      </c>
      <c r="J844" s="7">
        <f t="shared" si="39"/>
        <v>165315</v>
      </c>
      <c r="K844" s="7">
        <f t="shared" si="40"/>
        <v>174170</v>
      </c>
      <c r="L844" s="8">
        <f t="shared" si="41"/>
        <v>8855</v>
      </c>
    </row>
    <row r="845" spans="1:12" x14ac:dyDescent="0.3">
      <c r="A845" s="8" t="s">
        <v>877</v>
      </c>
      <c r="B845" s="9">
        <v>45770</v>
      </c>
      <c r="C845" s="8" t="s">
        <v>23</v>
      </c>
      <c r="D845" s="8" t="s">
        <v>17</v>
      </c>
      <c r="E845" s="8" t="s">
        <v>14</v>
      </c>
      <c r="F845" s="8" t="s">
        <v>20</v>
      </c>
      <c r="G845" s="7">
        <v>8</v>
      </c>
      <c r="H845" s="7">
        <v>24874</v>
      </c>
      <c r="I845" s="7">
        <v>34652</v>
      </c>
      <c r="J845" s="7">
        <f t="shared" si="39"/>
        <v>198992</v>
      </c>
      <c r="K845" s="7">
        <f t="shared" si="40"/>
        <v>277216</v>
      </c>
      <c r="L845" s="8">
        <f t="shared" si="41"/>
        <v>78224</v>
      </c>
    </row>
    <row r="846" spans="1:12" x14ac:dyDescent="0.3">
      <c r="A846" s="8" t="s">
        <v>878</v>
      </c>
      <c r="B846" s="9">
        <v>45771</v>
      </c>
      <c r="C846" s="8" t="s">
        <v>12</v>
      </c>
      <c r="D846" s="8" t="s">
        <v>24</v>
      </c>
      <c r="E846" s="8" t="s">
        <v>14</v>
      </c>
      <c r="F846" s="8" t="s">
        <v>22</v>
      </c>
      <c r="G846" s="7">
        <v>5</v>
      </c>
      <c r="H846" s="7">
        <v>38985</v>
      </c>
      <c r="I846" s="7">
        <v>46351</v>
      </c>
      <c r="J846" s="7">
        <f t="shared" si="39"/>
        <v>194925</v>
      </c>
      <c r="K846" s="7">
        <f t="shared" si="40"/>
        <v>231755</v>
      </c>
      <c r="L846" s="8">
        <f t="shared" si="41"/>
        <v>36830</v>
      </c>
    </row>
    <row r="847" spans="1:12" x14ac:dyDescent="0.3">
      <c r="A847" s="8" t="s">
        <v>879</v>
      </c>
      <c r="B847" s="9">
        <v>45772</v>
      </c>
      <c r="C847" s="8" t="s">
        <v>26</v>
      </c>
      <c r="D847" s="8" t="s">
        <v>13</v>
      </c>
      <c r="E847" s="8" t="s">
        <v>14</v>
      </c>
      <c r="F847" s="8" t="s">
        <v>22</v>
      </c>
      <c r="G847" s="7">
        <v>3</v>
      </c>
      <c r="H847" s="7">
        <v>11093</v>
      </c>
      <c r="I847" s="7">
        <v>19996</v>
      </c>
      <c r="J847" s="7">
        <f t="shared" si="39"/>
        <v>33279</v>
      </c>
      <c r="K847" s="7">
        <f t="shared" si="40"/>
        <v>59988</v>
      </c>
      <c r="L847" s="8">
        <f t="shared" si="41"/>
        <v>26709</v>
      </c>
    </row>
    <row r="848" spans="1:12" x14ac:dyDescent="0.3">
      <c r="A848" s="8" t="s">
        <v>880</v>
      </c>
      <c r="B848" s="9">
        <v>45773</v>
      </c>
      <c r="C848" s="8" t="s">
        <v>26</v>
      </c>
      <c r="D848" s="8" t="s">
        <v>13</v>
      </c>
      <c r="E848" s="8" t="s">
        <v>14</v>
      </c>
      <c r="F848" s="8" t="s">
        <v>22</v>
      </c>
      <c r="G848" s="7">
        <v>4</v>
      </c>
      <c r="H848" s="7">
        <v>10479</v>
      </c>
      <c r="I848" s="7">
        <v>14923</v>
      </c>
      <c r="J848" s="7">
        <f t="shared" si="39"/>
        <v>41916</v>
      </c>
      <c r="K848" s="7">
        <f t="shared" si="40"/>
        <v>59692</v>
      </c>
      <c r="L848" s="8">
        <f t="shared" si="41"/>
        <v>17776</v>
      </c>
    </row>
    <row r="849" spans="1:12" x14ac:dyDescent="0.3">
      <c r="A849" s="8" t="s">
        <v>881</v>
      </c>
      <c r="B849" s="9">
        <v>45774</v>
      </c>
      <c r="C849" s="8" t="s">
        <v>26</v>
      </c>
      <c r="D849" s="8" t="s">
        <v>17</v>
      </c>
      <c r="E849" s="8" t="s">
        <v>18</v>
      </c>
      <c r="F849" s="8" t="s">
        <v>25</v>
      </c>
      <c r="G849" s="7">
        <v>5</v>
      </c>
      <c r="H849" s="7">
        <v>28226</v>
      </c>
      <c r="I849" s="7">
        <v>32321</v>
      </c>
      <c r="J849" s="7">
        <f t="shared" si="39"/>
        <v>141130</v>
      </c>
      <c r="K849" s="7">
        <f t="shared" si="40"/>
        <v>161605</v>
      </c>
      <c r="L849" s="8">
        <f t="shared" si="41"/>
        <v>20475</v>
      </c>
    </row>
    <row r="850" spans="1:12" x14ac:dyDescent="0.3">
      <c r="A850" s="8" t="s">
        <v>882</v>
      </c>
      <c r="B850" s="9">
        <v>45775</v>
      </c>
      <c r="C850" s="8" t="s">
        <v>16</v>
      </c>
      <c r="D850" s="8" t="s">
        <v>21</v>
      </c>
      <c r="E850" s="8" t="s">
        <v>14</v>
      </c>
      <c r="F850" s="8" t="s">
        <v>20</v>
      </c>
      <c r="G850" s="7">
        <v>1</v>
      </c>
      <c r="H850" s="7">
        <v>24323</v>
      </c>
      <c r="I850" s="7">
        <v>25653</v>
      </c>
      <c r="J850" s="7">
        <f t="shared" si="39"/>
        <v>24323</v>
      </c>
      <c r="K850" s="7">
        <f t="shared" si="40"/>
        <v>25653</v>
      </c>
      <c r="L850" s="8">
        <f t="shared" si="41"/>
        <v>1330</v>
      </c>
    </row>
    <row r="851" spans="1:12" x14ac:dyDescent="0.3">
      <c r="A851" s="8" t="s">
        <v>883</v>
      </c>
      <c r="B851" s="9">
        <v>45776</v>
      </c>
      <c r="C851" s="8" t="s">
        <v>16</v>
      </c>
      <c r="D851" s="8" t="s">
        <v>21</v>
      </c>
      <c r="E851" s="8" t="s">
        <v>18</v>
      </c>
      <c r="F851" s="8" t="s">
        <v>19</v>
      </c>
      <c r="G851" s="7">
        <v>8</v>
      </c>
      <c r="H851" s="7">
        <v>21117</v>
      </c>
      <c r="I851" s="7">
        <v>23532</v>
      </c>
      <c r="J851" s="7">
        <f t="shared" si="39"/>
        <v>168936</v>
      </c>
      <c r="K851" s="7">
        <f t="shared" si="40"/>
        <v>188256</v>
      </c>
      <c r="L851" s="8">
        <f t="shared" si="41"/>
        <v>19320</v>
      </c>
    </row>
    <row r="852" spans="1:12" x14ac:dyDescent="0.3">
      <c r="A852" s="8" t="s">
        <v>884</v>
      </c>
      <c r="B852" s="9">
        <v>45777</v>
      </c>
      <c r="C852" s="8" t="s">
        <v>16</v>
      </c>
      <c r="D852" s="8" t="s">
        <v>13</v>
      </c>
      <c r="E852" s="8" t="s">
        <v>14</v>
      </c>
      <c r="F852" s="8" t="s">
        <v>22</v>
      </c>
      <c r="G852" s="7">
        <v>7</v>
      </c>
      <c r="H852" s="7">
        <v>30286</v>
      </c>
      <c r="I852" s="7">
        <v>39023</v>
      </c>
      <c r="J852" s="7">
        <f t="shared" si="39"/>
        <v>212002</v>
      </c>
      <c r="K852" s="7">
        <f t="shared" si="40"/>
        <v>273161</v>
      </c>
      <c r="L852" s="8">
        <f t="shared" si="41"/>
        <v>61159</v>
      </c>
    </row>
    <row r="853" spans="1:12" x14ac:dyDescent="0.3">
      <c r="A853" s="8" t="s">
        <v>885</v>
      </c>
      <c r="B853" s="9">
        <v>45778</v>
      </c>
      <c r="C853" s="8" t="s">
        <v>12</v>
      </c>
      <c r="D853" s="8" t="s">
        <v>24</v>
      </c>
      <c r="E853" s="8" t="s">
        <v>14</v>
      </c>
      <c r="F853" s="8" t="s">
        <v>22</v>
      </c>
      <c r="G853" s="7">
        <v>7</v>
      </c>
      <c r="H853" s="7">
        <v>4617</v>
      </c>
      <c r="I853" s="7">
        <v>5987</v>
      </c>
      <c r="J853" s="7">
        <f t="shared" si="39"/>
        <v>32319</v>
      </c>
      <c r="K853" s="7">
        <f t="shared" si="40"/>
        <v>41909</v>
      </c>
      <c r="L853" s="8">
        <f t="shared" si="41"/>
        <v>9590</v>
      </c>
    </row>
    <row r="854" spans="1:12" x14ac:dyDescent="0.3">
      <c r="A854" s="8" t="s">
        <v>886</v>
      </c>
      <c r="B854" s="9">
        <v>45779</v>
      </c>
      <c r="C854" s="8" t="s">
        <v>16</v>
      </c>
      <c r="D854" s="8" t="s">
        <v>27</v>
      </c>
      <c r="E854" s="8" t="s">
        <v>14</v>
      </c>
      <c r="F854" s="8" t="s">
        <v>20</v>
      </c>
      <c r="G854" s="7">
        <v>9</v>
      </c>
      <c r="H854" s="7">
        <v>35378</v>
      </c>
      <c r="I854" s="7">
        <v>44624</v>
      </c>
      <c r="J854" s="7">
        <f t="shared" si="39"/>
        <v>318402</v>
      </c>
      <c r="K854" s="7">
        <f t="shared" si="40"/>
        <v>401616</v>
      </c>
      <c r="L854" s="8">
        <f t="shared" si="41"/>
        <v>83214</v>
      </c>
    </row>
    <row r="855" spans="1:12" x14ac:dyDescent="0.3">
      <c r="A855" s="8" t="s">
        <v>887</v>
      </c>
      <c r="B855" s="9">
        <v>45780</v>
      </c>
      <c r="C855" s="8" t="s">
        <v>26</v>
      </c>
      <c r="D855" s="8" t="s">
        <v>29</v>
      </c>
      <c r="E855" s="8" t="s">
        <v>18</v>
      </c>
      <c r="F855" s="8" t="s">
        <v>19</v>
      </c>
      <c r="G855" s="7">
        <v>8</v>
      </c>
      <c r="H855" s="7">
        <v>15904</v>
      </c>
      <c r="I855" s="7">
        <v>23786</v>
      </c>
      <c r="J855" s="7">
        <f t="shared" si="39"/>
        <v>127232</v>
      </c>
      <c r="K855" s="7">
        <f t="shared" si="40"/>
        <v>190288</v>
      </c>
      <c r="L855" s="8">
        <f t="shared" si="41"/>
        <v>63056</v>
      </c>
    </row>
    <row r="856" spans="1:12" x14ac:dyDescent="0.3">
      <c r="A856" s="8" t="s">
        <v>888</v>
      </c>
      <c r="B856" s="9">
        <v>45781</v>
      </c>
      <c r="C856" s="8" t="s">
        <v>23</v>
      </c>
      <c r="D856" s="8" t="s">
        <v>17</v>
      </c>
      <c r="E856" s="8" t="s">
        <v>14</v>
      </c>
      <c r="F856" s="8" t="s">
        <v>22</v>
      </c>
      <c r="G856" s="7">
        <v>6</v>
      </c>
      <c r="H856" s="7">
        <v>36821</v>
      </c>
      <c r="I856" s="7">
        <v>39737</v>
      </c>
      <c r="J856" s="7">
        <f t="shared" si="39"/>
        <v>220926</v>
      </c>
      <c r="K856" s="7">
        <f t="shared" si="40"/>
        <v>238422</v>
      </c>
      <c r="L856" s="8">
        <f t="shared" si="41"/>
        <v>17496</v>
      </c>
    </row>
    <row r="857" spans="1:12" x14ac:dyDescent="0.3">
      <c r="A857" s="8" t="s">
        <v>889</v>
      </c>
      <c r="B857" s="9">
        <v>45782</v>
      </c>
      <c r="C857" s="8" t="s">
        <v>26</v>
      </c>
      <c r="D857" s="8" t="s">
        <v>24</v>
      </c>
      <c r="E857" s="8" t="s">
        <v>18</v>
      </c>
      <c r="F857" s="8" t="s">
        <v>28</v>
      </c>
      <c r="G857" s="7">
        <v>3</v>
      </c>
      <c r="H857" s="7">
        <v>15097</v>
      </c>
      <c r="I857" s="7">
        <v>20532</v>
      </c>
      <c r="J857" s="7">
        <f t="shared" si="39"/>
        <v>45291</v>
      </c>
      <c r="K857" s="7">
        <f t="shared" si="40"/>
        <v>61596</v>
      </c>
      <c r="L857" s="8">
        <f t="shared" si="41"/>
        <v>16305</v>
      </c>
    </row>
    <row r="858" spans="1:12" x14ac:dyDescent="0.3">
      <c r="A858" s="8" t="s">
        <v>890</v>
      </c>
      <c r="B858" s="9">
        <v>45783</v>
      </c>
      <c r="C858" s="8" t="s">
        <v>16</v>
      </c>
      <c r="D858" s="8" t="s">
        <v>13</v>
      </c>
      <c r="E858" s="8" t="s">
        <v>18</v>
      </c>
      <c r="F858" s="8" t="s">
        <v>28</v>
      </c>
      <c r="G858" s="7">
        <v>2</v>
      </c>
      <c r="H858" s="7">
        <v>28470</v>
      </c>
      <c r="I858" s="7">
        <v>37949</v>
      </c>
      <c r="J858" s="7">
        <f t="shared" si="39"/>
        <v>56940</v>
      </c>
      <c r="K858" s="7">
        <f t="shared" si="40"/>
        <v>75898</v>
      </c>
      <c r="L858" s="8">
        <f t="shared" si="41"/>
        <v>18958</v>
      </c>
    </row>
    <row r="859" spans="1:12" x14ac:dyDescent="0.3">
      <c r="A859" s="8" t="s">
        <v>891</v>
      </c>
      <c r="B859" s="9">
        <v>45784</v>
      </c>
      <c r="C859" s="8" t="s">
        <v>16</v>
      </c>
      <c r="D859" s="8" t="s">
        <v>17</v>
      </c>
      <c r="E859" s="8" t="s">
        <v>14</v>
      </c>
      <c r="F859" s="8" t="s">
        <v>15</v>
      </c>
      <c r="G859" s="7">
        <v>8</v>
      </c>
      <c r="H859" s="7">
        <v>21802</v>
      </c>
      <c r="I859" s="7">
        <v>30637</v>
      </c>
      <c r="J859" s="7">
        <f t="shared" si="39"/>
        <v>174416</v>
      </c>
      <c r="K859" s="7">
        <f t="shared" si="40"/>
        <v>245096</v>
      </c>
      <c r="L859" s="8">
        <f t="shared" si="41"/>
        <v>70680</v>
      </c>
    </row>
    <row r="860" spans="1:12" x14ac:dyDescent="0.3">
      <c r="A860" s="8" t="s">
        <v>892</v>
      </c>
      <c r="B860" s="9">
        <v>45785</v>
      </c>
      <c r="C860" s="8" t="s">
        <v>12</v>
      </c>
      <c r="D860" s="8" t="s">
        <v>21</v>
      </c>
      <c r="E860" s="8" t="s">
        <v>14</v>
      </c>
      <c r="F860" s="8" t="s">
        <v>15</v>
      </c>
      <c r="G860" s="7">
        <v>7</v>
      </c>
      <c r="H860" s="7">
        <v>35142</v>
      </c>
      <c r="I860" s="7">
        <v>36525</v>
      </c>
      <c r="J860" s="7">
        <f t="shared" si="39"/>
        <v>245994</v>
      </c>
      <c r="K860" s="7">
        <f t="shared" si="40"/>
        <v>255675</v>
      </c>
      <c r="L860" s="8">
        <f t="shared" si="41"/>
        <v>9681</v>
      </c>
    </row>
    <row r="861" spans="1:12" x14ac:dyDescent="0.3">
      <c r="A861" s="8" t="s">
        <v>893</v>
      </c>
      <c r="B861" s="9">
        <v>45786</v>
      </c>
      <c r="C861" s="8" t="s">
        <v>12</v>
      </c>
      <c r="D861" s="8" t="s">
        <v>21</v>
      </c>
      <c r="E861" s="8" t="s">
        <v>14</v>
      </c>
      <c r="F861" s="8" t="s">
        <v>22</v>
      </c>
      <c r="G861" s="7">
        <v>10</v>
      </c>
      <c r="H861" s="7">
        <v>25458</v>
      </c>
      <c r="I861" s="7">
        <v>26741</v>
      </c>
      <c r="J861" s="7">
        <f t="shared" si="39"/>
        <v>254580</v>
      </c>
      <c r="K861" s="7">
        <f t="shared" si="40"/>
        <v>267410</v>
      </c>
      <c r="L861" s="8">
        <f t="shared" si="41"/>
        <v>12830</v>
      </c>
    </row>
    <row r="862" spans="1:12" x14ac:dyDescent="0.3">
      <c r="A862" s="8" t="s">
        <v>894</v>
      </c>
      <c r="B862" s="9">
        <v>45787</v>
      </c>
      <c r="C862" s="8" t="s">
        <v>16</v>
      </c>
      <c r="D862" s="8" t="s">
        <v>24</v>
      </c>
      <c r="E862" s="8" t="s">
        <v>18</v>
      </c>
      <c r="F862" s="8" t="s">
        <v>28</v>
      </c>
      <c r="G862" s="7">
        <v>1</v>
      </c>
      <c r="H862" s="7">
        <v>34051</v>
      </c>
      <c r="I862" s="7">
        <v>34743</v>
      </c>
      <c r="J862" s="7">
        <f t="shared" si="39"/>
        <v>34051</v>
      </c>
      <c r="K862" s="7">
        <f t="shared" si="40"/>
        <v>34743</v>
      </c>
      <c r="L862" s="8">
        <f t="shared" si="41"/>
        <v>692</v>
      </c>
    </row>
    <row r="863" spans="1:12" x14ac:dyDescent="0.3">
      <c r="A863" s="8" t="s">
        <v>895</v>
      </c>
      <c r="B863" s="9">
        <v>45788</v>
      </c>
      <c r="C863" s="8" t="s">
        <v>16</v>
      </c>
      <c r="D863" s="8" t="s">
        <v>13</v>
      </c>
      <c r="E863" s="8" t="s">
        <v>18</v>
      </c>
      <c r="F863" s="8" t="s">
        <v>28</v>
      </c>
      <c r="G863" s="7">
        <v>1</v>
      </c>
      <c r="H863" s="7">
        <v>11366</v>
      </c>
      <c r="I863" s="7">
        <v>13407</v>
      </c>
      <c r="J863" s="7">
        <f t="shared" si="39"/>
        <v>11366</v>
      </c>
      <c r="K863" s="7">
        <f t="shared" si="40"/>
        <v>13407</v>
      </c>
      <c r="L863" s="8">
        <f t="shared" si="41"/>
        <v>2041</v>
      </c>
    </row>
    <row r="864" spans="1:12" x14ac:dyDescent="0.3">
      <c r="A864" s="8" t="s">
        <v>896</v>
      </c>
      <c r="B864" s="9">
        <v>45789</v>
      </c>
      <c r="C864" s="8" t="s">
        <v>12</v>
      </c>
      <c r="D864" s="8" t="s">
        <v>21</v>
      </c>
      <c r="E864" s="8" t="s">
        <v>14</v>
      </c>
      <c r="F864" s="8" t="s">
        <v>20</v>
      </c>
      <c r="G864" s="7">
        <v>7</v>
      </c>
      <c r="H864" s="7">
        <v>13921</v>
      </c>
      <c r="I864" s="7">
        <v>14739</v>
      </c>
      <c r="J864" s="7">
        <f t="shared" si="39"/>
        <v>97447</v>
      </c>
      <c r="K864" s="7">
        <f t="shared" si="40"/>
        <v>103173</v>
      </c>
      <c r="L864" s="8">
        <f t="shared" si="41"/>
        <v>5726</v>
      </c>
    </row>
    <row r="865" spans="1:12" x14ac:dyDescent="0.3">
      <c r="A865" s="8" t="s">
        <v>897</v>
      </c>
      <c r="B865" s="9">
        <v>45790</v>
      </c>
      <c r="C865" s="8" t="s">
        <v>16</v>
      </c>
      <c r="D865" s="8" t="s">
        <v>27</v>
      </c>
      <c r="E865" s="8" t="s">
        <v>18</v>
      </c>
      <c r="F865" s="8" t="s">
        <v>25</v>
      </c>
      <c r="G865" s="7">
        <v>10</v>
      </c>
      <c r="H865" s="7">
        <v>9265</v>
      </c>
      <c r="I865" s="7">
        <v>16340</v>
      </c>
      <c r="J865" s="7">
        <f t="shared" si="39"/>
        <v>92650</v>
      </c>
      <c r="K865" s="7">
        <f t="shared" si="40"/>
        <v>163400</v>
      </c>
      <c r="L865" s="8">
        <f t="shared" si="41"/>
        <v>70750</v>
      </c>
    </row>
    <row r="866" spans="1:12" x14ac:dyDescent="0.3">
      <c r="A866" s="8" t="s">
        <v>898</v>
      </c>
      <c r="B866" s="9">
        <v>45791</v>
      </c>
      <c r="C866" s="8" t="s">
        <v>12</v>
      </c>
      <c r="D866" s="8" t="s">
        <v>21</v>
      </c>
      <c r="E866" s="8" t="s">
        <v>14</v>
      </c>
      <c r="F866" s="8" t="s">
        <v>15</v>
      </c>
      <c r="G866" s="7">
        <v>2</v>
      </c>
      <c r="H866" s="7">
        <v>26990</v>
      </c>
      <c r="I866" s="7">
        <v>33262</v>
      </c>
      <c r="J866" s="7">
        <f t="shared" si="39"/>
        <v>53980</v>
      </c>
      <c r="K866" s="7">
        <f t="shared" si="40"/>
        <v>66524</v>
      </c>
      <c r="L866" s="8">
        <f t="shared" si="41"/>
        <v>12544</v>
      </c>
    </row>
    <row r="867" spans="1:12" x14ac:dyDescent="0.3">
      <c r="A867" s="8" t="s">
        <v>899</v>
      </c>
      <c r="B867" s="9">
        <v>45792</v>
      </c>
      <c r="C867" s="8" t="s">
        <v>16</v>
      </c>
      <c r="D867" s="8" t="s">
        <v>29</v>
      </c>
      <c r="E867" s="8" t="s">
        <v>18</v>
      </c>
      <c r="F867" s="8" t="s">
        <v>19</v>
      </c>
      <c r="G867" s="7">
        <v>2</v>
      </c>
      <c r="H867" s="7">
        <v>22904</v>
      </c>
      <c r="I867" s="7">
        <v>31832</v>
      </c>
      <c r="J867" s="7">
        <f t="shared" si="39"/>
        <v>45808</v>
      </c>
      <c r="K867" s="7">
        <f t="shared" si="40"/>
        <v>63664</v>
      </c>
      <c r="L867" s="8">
        <f t="shared" si="41"/>
        <v>17856</v>
      </c>
    </row>
    <row r="868" spans="1:12" x14ac:dyDescent="0.3">
      <c r="A868" s="8" t="s">
        <v>900</v>
      </c>
      <c r="B868" s="9">
        <v>45793</v>
      </c>
      <c r="C868" s="8" t="s">
        <v>23</v>
      </c>
      <c r="D868" s="8" t="s">
        <v>27</v>
      </c>
      <c r="E868" s="8" t="s">
        <v>18</v>
      </c>
      <c r="F868" s="8" t="s">
        <v>28</v>
      </c>
      <c r="G868" s="7">
        <v>2</v>
      </c>
      <c r="H868" s="7">
        <v>10200</v>
      </c>
      <c r="I868" s="7">
        <v>19241</v>
      </c>
      <c r="J868" s="7">
        <f t="shared" si="39"/>
        <v>20400</v>
      </c>
      <c r="K868" s="7">
        <f t="shared" si="40"/>
        <v>38482</v>
      </c>
      <c r="L868" s="8">
        <f t="shared" si="41"/>
        <v>18082</v>
      </c>
    </row>
    <row r="869" spans="1:12" x14ac:dyDescent="0.3">
      <c r="A869" s="8" t="s">
        <v>901</v>
      </c>
      <c r="B869" s="9">
        <v>45794</v>
      </c>
      <c r="C869" s="8" t="s">
        <v>23</v>
      </c>
      <c r="D869" s="8" t="s">
        <v>17</v>
      </c>
      <c r="E869" s="8" t="s">
        <v>18</v>
      </c>
      <c r="F869" s="8" t="s">
        <v>19</v>
      </c>
      <c r="G869" s="7">
        <v>3</v>
      </c>
      <c r="H869" s="7">
        <v>18600</v>
      </c>
      <c r="I869" s="7">
        <v>24967</v>
      </c>
      <c r="J869" s="7">
        <f t="shared" si="39"/>
        <v>55800</v>
      </c>
      <c r="K869" s="7">
        <f t="shared" si="40"/>
        <v>74901</v>
      </c>
      <c r="L869" s="8">
        <f t="shared" si="41"/>
        <v>19101</v>
      </c>
    </row>
    <row r="870" spans="1:12" x14ac:dyDescent="0.3">
      <c r="A870" s="8" t="s">
        <v>902</v>
      </c>
      <c r="B870" s="9">
        <v>45795</v>
      </c>
      <c r="C870" s="8" t="s">
        <v>23</v>
      </c>
      <c r="D870" s="8" t="s">
        <v>29</v>
      </c>
      <c r="E870" s="8" t="s">
        <v>14</v>
      </c>
      <c r="F870" s="8" t="s">
        <v>15</v>
      </c>
      <c r="G870" s="7">
        <v>4</v>
      </c>
      <c r="H870" s="7">
        <v>39975</v>
      </c>
      <c r="I870" s="7">
        <v>43568</v>
      </c>
      <c r="J870" s="7">
        <f t="shared" si="39"/>
        <v>159900</v>
      </c>
      <c r="K870" s="7">
        <f t="shared" si="40"/>
        <v>174272</v>
      </c>
      <c r="L870" s="8">
        <f t="shared" si="41"/>
        <v>14372</v>
      </c>
    </row>
    <row r="871" spans="1:12" x14ac:dyDescent="0.3">
      <c r="A871" s="8" t="s">
        <v>903</v>
      </c>
      <c r="B871" s="9">
        <v>45796</v>
      </c>
      <c r="C871" s="8" t="s">
        <v>12</v>
      </c>
      <c r="D871" s="8" t="s">
        <v>17</v>
      </c>
      <c r="E871" s="8" t="s">
        <v>14</v>
      </c>
      <c r="F871" s="8" t="s">
        <v>22</v>
      </c>
      <c r="G871" s="7">
        <v>3</v>
      </c>
      <c r="H871" s="7">
        <v>17392</v>
      </c>
      <c r="I871" s="7">
        <v>22142</v>
      </c>
      <c r="J871" s="7">
        <f t="shared" si="39"/>
        <v>52176</v>
      </c>
      <c r="K871" s="7">
        <f t="shared" si="40"/>
        <v>66426</v>
      </c>
      <c r="L871" s="8">
        <f t="shared" si="41"/>
        <v>14250</v>
      </c>
    </row>
    <row r="872" spans="1:12" x14ac:dyDescent="0.3">
      <c r="A872" s="8" t="s">
        <v>904</v>
      </c>
      <c r="B872" s="9">
        <v>45797</v>
      </c>
      <c r="C872" s="8" t="s">
        <v>26</v>
      </c>
      <c r="D872" s="8" t="s">
        <v>21</v>
      </c>
      <c r="E872" s="8" t="s">
        <v>14</v>
      </c>
      <c r="F872" s="8" t="s">
        <v>15</v>
      </c>
      <c r="G872" s="7">
        <v>6</v>
      </c>
      <c r="H872" s="7">
        <v>14288</v>
      </c>
      <c r="I872" s="7">
        <v>23843</v>
      </c>
      <c r="J872" s="7">
        <f t="shared" si="39"/>
        <v>85728</v>
      </c>
      <c r="K872" s="7">
        <f t="shared" si="40"/>
        <v>143058</v>
      </c>
      <c r="L872" s="8">
        <f t="shared" si="41"/>
        <v>57330</v>
      </c>
    </row>
    <row r="873" spans="1:12" x14ac:dyDescent="0.3">
      <c r="A873" s="8" t="s">
        <v>905</v>
      </c>
      <c r="B873" s="9">
        <v>45798</v>
      </c>
      <c r="C873" s="8" t="s">
        <v>26</v>
      </c>
      <c r="D873" s="8" t="s">
        <v>24</v>
      </c>
      <c r="E873" s="8" t="s">
        <v>18</v>
      </c>
      <c r="F873" s="8" t="s">
        <v>28</v>
      </c>
      <c r="G873" s="7">
        <v>3</v>
      </c>
      <c r="H873" s="7">
        <v>35038</v>
      </c>
      <c r="I873" s="7">
        <v>35770</v>
      </c>
      <c r="J873" s="7">
        <f t="shared" si="39"/>
        <v>105114</v>
      </c>
      <c r="K873" s="7">
        <f t="shared" si="40"/>
        <v>107310</v>
      </c>
      <c r="L873" s="8">
        <f t="shared" si="41"/>
        <v>2196</v>
      </c>
    </row>
    <row r="874" spans="1:12" x14ac:dyDescent="0.3">
      <c r="A874" s="8" t="s">
        <v>906</v>
      </c>
      <c r="B874" s="9">
        <v>45799</v>
      </c>
      <c r="C874" s="8" t="s">
        <v>23</v>
      </c>
      <c r="D874" s="8" t="s">
        <v>27</v>
      </c>
      <c r="E874" s="8" t="s">
        <v>18</v>
      </c>
      <c r="F874" s="8" t="s">
        <v>28</v>
      </c>
      <c r="G874" s="7">
        <v>3</v>
      </c>
      <c r="H874" s="7">
        <v>24443</v>
      </c>
      <c r="I874" s="7">
        <v>29661</v>
      </c>
      <c r="J874" s="7">
        <f t="shared" si="39"/>
        <v>73329</v>
      </c>
      <c r="K874" s="7">
        <f t="shared" si="40"/>
        <v>88983</v>
      </c>
      <c r="L874" s="8">
        <f t="shared" si="41"/>
        <v>15654</v>
      </c>
    </row>
    <row r="875" spans="1:12" x14ac:dyDescent="0.3">
      <c r="A875" s="8" t="s">
        <v>907</v>
      </c>
      <c r="B875" s="9">
        <v>45800</v>
      </c>
      <c r="C875" s="8" t="s">
        <v>23</v>
      </c>
      <c r="D875" s="8" t="s">
        <v>13</v>
      </c>
      <c r="E875" s="8" t="s">
        <v>18</v>
      </c>
      <c r="F875" s="8" t="s">
        <v>19</v>
      </c>
      <c r="G875" s="7">
        <v>6</v>
      </c>
      <c r="H875" s="7">
        <v>12654</v>
      </c>
      <c r="I875" s="7">
        <v>17365</v>
      </c>
      <c r="J875" s="7">
        <f t="shared" si="39"/>
        <v>75924</v>
      </c>
      <c r="K875" s="7">
        <f t="shared" si="40"/>
        <v>104190</v>
      </c>
      <c r="L875" s="8">
        <f t="shared" si="41"/>
        <v>28266</v>
      </c>
    </row>
    <row r="876" spans="1:12" x14ac:dyDescent="0.3">
      <c r="A876" s="8" t="s">
        <v>908</v>
      </c>
      <c r="B876" s="9">
        <v>45801</v>
      </c>
      <c r="C876" s="8" t="s">
        <v>12</v>
      </c>
      <c r="D876" s="8" t="s">
        <v>27</v>
      </c>
      <c r="E876" s="8" t="s">
        <v>14</v>
      </c>
      <c r="F876" s="8" t="s">
        <v>15</v>
      </c>
      <c r="G876" s="7">
        <v>7</v>
      </c>
      <c r="H876" s="7">
        <v>30937</v>
      </c>
      <c r="I876" s="7">
        <v>36858</v>
      </c>
      <c r="J876" s="7">
        <f t="shared" si="39"/>
        <v>216559</v>
      </c>
      <c r="K876" s="7">
        <f t="shared" si="40"/>
        <v>258006</v>
      </c>
      <c r="L876" s="8">
        <f t="shared" si="41"/>
        <v>41447</v>
      </c>
    </row>
    <row r="877" spans="1:12" x14ac:dyDescent="0.3">
      <c r="A877" s="8" t="s">
        <v>909</v>
      </c>
      <c r="B877" s="9">
        <v>45802</v>
      </c>
      <c r="C877" s="8" t="s">
        <v>16</v>
      </c>
      <c r="D877" s="8" t="s">
        <v>29</v>
      </c>
      <c r="E877" s="8" t="s">
        <v>14</v>
      </c>
      <c r="F877" s="8" t="s">
        <v>22</v>
      </c>
      <c r="G877" s="7">
        <v>6</v>
      </c>
      <c r="H877" s="7">
        <v>39139</v>
      </c>
      <c r="I877" s="7">
        <v>43375</v>
      </c>
      <c r="J877" s="7">
        <f t="shared" si="39"/>
        <v>234834</v>
      </c>
      <c r="K877" s="7">
        <f t="shared" si="40"/>
        <v>260250</v>
      </c>
      <c r="L877" s="8">
        <f t="shared" si="41"/>
        <v>25416</v>
      </c>
    </row>
    <row r="878" spans="1:12" x14ac:dyDescent="0.3">
      <c r="A878" s="8" t="s">
        <v>910</v>
      </c>
      <c r="B878" s="9">
        <v>45803</v>
      </c>
      <c r="C878" s="8" t="s">
        <v>12</v>
      </c>
      <c r="D878" s="8" t="s">
        <v>13</v>
      </c>
      <c r="E878" s="8" t="s">
        <v>18</v>
      </c>
      <c r="F878" s="8" t="s">
        <v>25</v>
      </c>
      <c r="G878" s="7">
        <v>6</v>
      </c>
      <c r="H878" s="7">
        <v>29642</v>
      </c>
      <c r="I878" s="7">
        <v>33246</v>
      </c>
      <c r="J878" s="7">
        <f t="shared" si="39"/>
        <v>177852</v>
      </c>
      <c r="K878" s="7">
        <f t="shared" si="40"/>
        <v>199476</v>
      </c>
      <c r="L878" s="8">
        <f t="shared" si="41"/>
        <v>21624</v>
      </c>
    </row>
    <row r="879" spans="1:12" x14ac:dyDescent="0.3">
      <c r="A879" s="8" t="s">
        <v>911</v>
      </c>
      <c r="B879" s="9">
        <v>45804</v>
      </c>
      <c r="C879" s="8" t="s">
        <v>16</v>
      </c>
      <c r="D879" s="8" t="s">
        <v>27</v>
      </c>
      <c r="E879" s="8" t="s">
        <v>18</v>
      </c>
      <c r="F879" s="8" t="s">
        <v>28</v>
      </c>
      <c r="G879" s="7">
        <v>6</v>
      </c>
      <c r="H879" s="7">
        <v>20154</v>
      </c>
      <c r="I879" s="7">
        <v>25640</v>
      </c>
      <c r="J879" s="7">
        <f t="shared" si="39"/>
        <v>120924</v>
      </c>
      <c r="K879" s="7">
        <f t="shared" si="40"/>
        <v>153840</v>
      </c>
      <c r="L879" s="8">
        <f t="shared" si="41"/>
        <v>32916</v>
      </c>
    </row>
    <row r="880" spans="1:12" x14ac:dyDescent="0.3">
      <c r="A880" s="8" t="s">
        <v>912</v>
      </c>
      <c r="B880" s="9">
        <v>45805</v>
      </c>
      <c r="C880" s="8" t="s">
        <v>16</v>
      </c>
      <c r="D880" s="8" t="s">
        <v>29</v>
      </c>
      <c r="E880" s="8" t="s">
        <v>18</v>
      </c>
      <c r="F880" s="8" t="s">
        <v>28</v>
      </c>
      <c r="G880" s="7">
        <v>3</v>
      </c>
      <c r="H880" s="7">
        <v>18997</v>
      </c>
      <c r="I880" s="7">
        <v>25919</v>
      </c>
      <c r="J880" s="7">
        <f t="shared" si="39"/>
        <v>56991</v>
      </c>
      <c r="K880" s="7">
        <f t="shared" si="40"/>
        <v>77757</v>
      </c>
      <c r="L880" s="8">
        <f t="shared" si="41"/>
        <v>20766</v>
      </c>
    </row>
    <row r="881" spans="1:12" x14ac:dyDescent="0.3">
      <c r="A881" s="8" t="s">
        <v>913</v>
      </c>
      <c r="B881" s="9">
        <v>45806</v>
      </c>
      <c r="C881" s="8" t="s">
        <v>12</v>
      </c>
      <c r="D881" s="8" t="s">
        <v>13</v>
      </c>
      <c r="E881" s="8" t="s">
        <v>18</v>
      </c>
      <c r="F881" s="8" t="s">
        <v>25</v>
      </c>
      <c r="G881" s="7">
        <v>5</v>
      </c>
      <c r="H881" s="7">
        <v>4736</v>
      </c>
      <c r="I881" s="7">
        <v>5968</v>
      </c>
      <c r="J881" s="7">
        <f t="shared" si="39"/>
        <v>23680</v>
      </c>
      <c r="K881" s="7">
        <f t="shared" si="40"/>
        <v>29840</v>
      </c>
      <c r="L881" s="8">
        <f t="shared" si="41"/>
        <v>6160</v>
      </c>
    </row>
    <row r="882" spans="1:12" x14ac:dyDescent="0.3">
      <c r="A882" s="8" t="s">
        <v>914</v>
      </c>
      <c r="B882" s="9">
        <v>45807</v>
      </c>
      <c r="C882" s="8" t="s">
        <v>23</v>
      </c>
      <c r="D882" s="8" t="s">
        <v>17</v>
      </c>
      <c r="E882" s="8" t="s">
        <v>14</v>
      </c>
      <c r="F882" s="8" t="s">
        <v>20</v>
      </c>
      <c r="G882" s="7">
        <v>7</v>
      </c>
      <c r="H882" s="7">
        <v>4073</v>
      </c>
      <c r="I882" s="7">
        <v>10914</v>
      </c>
      <c r="J882" s="7">
        <f t="shared" si="39"/>
        <v>28511</v>
      </c>
      <c r="K882" s="7">
        <f t="shared" si="40"/>
        <v>76398</v>
      </c>
      <c r="L882" s="8">
        <f t="shared" si="41"/>
        <v>47887</v>
      </c>
    </row>
    <row r="883" spans="1:12" x14ac:dyDescent="0.3">
      <c r="A883" s="8" t="s">
        <v>915</v>
      </c>
      <c r="B883" s="9">
        <v>45808</v>
      </c>
      <c r="C883" s="8" t="s">
        <v>12</v>
      </c>
      <c r="D883" s="8" t="s">
        <v>21</v>
      </c>
      <c r="E883" s="8" t="s">
        <v>18</v>
      </c>
      <c r="F883" s="8" t="s">
        <v>25</v>
      </c>
      <c r="G883" s="7">
        <v>9</v>
      </c>
      <c r="H883" s="7">
        <v>33144</v>
      </c>
      <c r="I883" s="7">
        <v>37652</v>
      </c>
      <c r="J883" s="7">
        <f t="shared" si="39"/>
        <v>298296</v>
      </c>
      <c r="K883" s="7">
        <f t="shared" si="40"/>
        <v>338868</v>
      </c>
      <c r="L883" s="8">
        <f t="shared" si="41"/>
        <v>40572</v>
      </c>
    </row>
    <row r="884" spans="1:12" x14ac:dyDescent="0.3">
      <c r="A884" s="8" t="s">
        <v>916</v>
      </c>
      <c r="B884" s="9">
        <v>45809</v>
      </c>
      <c r="C884" s="8" t="s">
        <v>16</v>
      </c>
      <c r="D884" s="8" t="s">
        <v>17</v>
      </c>
      <c r="E884" s="8" t="s">
        <v>18</v>
      </c>
      <c r="F884" s="8" t="s">
        <v>28</v>
      </c>
      <c r="G884" s="7">
        <v>9</v>
      </c>
      <c r="H884" s="7">
        <v>36576</v>
      </c>
      <c r="I884" s="7">
        <v>44663</v>
      </c>
      <c r="J884" s="7">
        <f t="shared" si="39"/>
        <v>329184</v>
      </c>
      <c r="K884" s="7">
        <f t="shared" si="40"/>
        <v>401967</v>
      </c>
      <c r="L884" s="8">
        <f t="shared" si="41"/>
        <v>72783</v>
      </c>
    </row>
    <row r="885" spans="1:12" x14ac:dyDescent="0.3">
      <c r="A885" s="8" t="s">
        <v>917</v>
      </c>
      <c r="B885" s="9">
        <v>45810</v>
      </c>
      <c r="C885" s="8" t="s">
        <v>26</v>
      </c>
      <c r="D885" s="8" t="s">
        <v>13</v>
      </c>
      <c r="E885" s="8" t="s">
        <v>14</v>
      </c>
      <c r="F885" s="8" t="s">
        <v>22</v>
      </c>
      <c r="G885" s="7">
        <v>6</v>
      </c>
      <c r="H885" s="7">
        <v>19606</v>
      </c>
      <c r="I885" s="7">
        <v>23656</v>
      </c>
      <c r="J885" s="7">
        <f t="shared" si="39"/>
        <v>117636</v>
      </c>
      <c r="K885" s="7">
        <f t="shared" si="40"/>
        <v>141936</v>
      </c>
      <c r="L885" s="8">
        <f t="shared" si="41"/>
        <v>24300</v>
      </c>
    </row>
    <row r="886" spans="1:12" x14ac:dyDescent="0.3">
      <c r="A886" s="8" t="s">
        <v>918</v>
      </c>
      <c r="B886" s="9">
        <v>45811</v>
      </c>
      <c r="C886" s="8" t="s">
        <v>12</v>
      </c>
      <c r="D886" s="8" t="s">
        <v>29</v>
      </c>
      <c r="E886" s="8" t="s">
        <v>18</v>
      </c>
      <c r="F886" s="8" t="s">
        <v>25</v>
      </c>
      <c r="G886" s="7">
        <v>7</v>
      </c>
      <c r="H886" s="7">
        <v>17351</v>
      </c>
      <c r="I886" s="7">
        <v>17789</v>
      </c>
      <c r="J886" s="7">
        <f t="shared" si="39"/>
        <v>121457</v>
      </c>
      <c r="K886" s="7">
        <f t="shared" si="40"/>
        <v>124523</v>
      </c>
      <c r="L886" s="8">
        <f t="shared" si="41"/>
        <v>3066</v>
      </c>
    </row>
    <row r="887" spans="1:12" x14ac:dyDescent="0.3">
      <c r="A887" s="8" t="s">
        <v>919</v>
      </c>
      <c r="B887" s="9">
        <v>45812</v>
      </c>
      <c r="C887" s="8" t="s">
        <v>23</v>
      </c>
      <c r="D887" s="8" t="s">
        <v>17</v>
      </c>
      <c r="E887" s="8" t="s">
        <v>14</v>
      </c>
      <c r="F887" s="8" t="s">
        <v>22</v>
      </c>
      <c r="G887" s="7">
        <v>8</v>
      </c>
      <c r="H887" s="7">
        <v>28386</v>
      </c>
      <c r="I887" s="7">
        <v>36029</v>
      </c>
      <c r="J887" s="7">
        <f t="shared" si="39"/>
        <v>227088</v>
      </c>
      <c r="K887" s="7">
        <f t="shared" si="40"/>
        <v>288232</v>
      </c>
      <c r="L887" s="8">
        <f t="shared" si="41"/>
        <v>61144</v>
      </c>
    </row>
    <row r="888" spans="1:12" x14ac:dyDescent="0.3">
      <c r="A888" s="8" t="s">
        <v>920</v>
      </c>
      <c r="B888" s="9">
        <v>45813</v>
      </c>
      <c r="C888" s="8" t="s">
        <v>26</v>
      </c>
      <c r="D888" s="8" t="s">
        <v>24</v>
      </c>
      <c r="E888" s="8" t="s">
        <v>14</v>
      </c>
      <c r="F888" s="8" t="s">
        <v>22</v>
      </c>
      <c r="G888" s="7">
        <v>5</v>
      </c>
      <c r="H888" s="7">
        <v>30737</v>
      </c>
      <c r="I888" s="7">
        <v>39639</v>
      </c>
      <c r="J888" s="7">
        <f t="shared" si="39"/>
        <v>153685</v>
      </c>
      <c r="K888" s="7">
        <f t="shared" si="40"/>
        <v>198195</v>
      </c>
      <c r="L888" s="8">
        <f t="shared" si="41"/>
        <v>44510</v>
      </c>
    </row>
    <row r="889" spans="1:12" x14ac:dyDescent="0.3">
      <c r="A889" s="8" t="s">
        <v>921</v>
      </c>
      <c r="B889" s="9">
        <v>45814</v>
      </c>
      <c r="C889" s="8" t="s">
        <v>16</v>
      </c>
      <c r="D889" s="8" t="s">
        <v>21</v>
      </c>
      <c r="E889" s="8" t="s">
        <v>18</v>
      </c>
      <c r="F889" s="8" t="s">
        <v>25</v>
      </c>
      <c r="G889" s="7">
        <v>9</v>
      </c>
      <c r="H889" s="7">
        <v>23908</v>
      </c>
      <c r="I889" s="7">
        <v>25435</v>
      </c>
      <c r="J889" s="7">
        <f t="shared" si="39"/>
        <v>215172</v>
      </c>
      <c r="K889" s="7">
        <f t="shared" si="40"/>
        <v>228915</v>
      </c>
      <c r="L889" s="8">
        <f t="shared" si="41"/>
        <v>13743</v>
      </c>
    </row>
    <row r="890" spans="1:12" x14ac:dyDescent="0.3">
      <c r="A890" s="8" t="s">
        <v>922</v>
      </c>
      <c r="B890" s="9">
        <v>45815</v>
      </c>
      <c r="C890" s="8" t="s">
        <v>12</v>
      </c>
      <c r="D890" s="8" t="s">
        <v>29</v>
      </c>
      <c r="E890" s="8" t="s">
        <v>14</v>
      </c>
      <c r="F890" s="8" t="s">
        <v>15</v>
      </c>
      <c r="G890" s="7">
        <v>6</v>
      </c>
      <c r="H890" s="7">
        <v>32460</v>
      </c>
      <c r="I890" s="7">
        <v>42231</v>
      </c>
      <c r="J890" s="7">
        <f t="shared" si="39"/>
        <v>194760</v>
      </c>
      <c r="K890" s="7">
        <f t="shared" si="40"/>
        <v>253386</v>
      </c>
      <c r="L890" s="8">
        <f t="shared" si="41"/>
        <v>58626</v>
      </c>
    </row>
    <row r="891" spans="1:12" x14ac:dyDescent="0.3">
      <c r="A891" s="8" t="s">
        <v>923</v>
      </c>
      <c r="B891" s="9">
        <v>45816</v>
      </c>
      <c r="C891" s="8" t="s">
        <v>23</v>
      </c>
      <c r="D891" s="8" t="s">
        <v>27</v>
      </c>
      <c r="E891" s="8" t="s">
        <v>18</v>
      </c>
      <c r="F891" s="8" t="s">
        <v>25</v>
      </c>
      <c r="G891" s="7">
        <v>7</v>
      </c>
      <c r="H891" s="7">
        <v>22994</v>
      </c>
      <c r="I891" s="7">
        <v>29977</v>
      </c>
      <c r="J891" s="7">
        <f t="shared" si="39"/>
        <v>160958</v>
      </c>
      <c r="K891" s="7">
        <f t="shared" si="40"/>
        <v>209839</v>
      </c>
      <c r="L891" s="8">
        <f t="shared" si="41"/>
        <v>48881</v>
      </c>
    </row>
    <row r="892" spans="1:12" x14ac:dyDescent="0.3">
      <c r="A892" s="8" t="s">
        <v>924</v>
      </c>
      <c r="B892" s="9">
        <v>45817</v>
      </c>
      <c r="C892" s="8" t="s">
        <v>12</v>
      </c>
      <c r="D892" s="8" t="s">
        <v>17</v>
      </c>
      <c r="E892" s="8" t="s">
        <v>18</v>
      </c>
      <c r="F892" s="8" t="s">
        <v>19</v>
      </c>
      <c r="G892" s="7">
        <v>1</v>
      </c>
      <c r="H892" s="7">
        <v>30549</v>
      </c>
      <c r="I892" s="7">
        <v>38349</v>
      </c>
      <c r="J892" s="7">
        <f t="shared" si="39"/>
        <v>30549</v>
      </c>
      <c r="K892" s="7">
        <f t="shared" si="40"/>
        <v>38349</v>
      </c>
      <c r="L892" s="8">
        <f t="shared" si="41"/>
        <v>7800</v>
      </c>
    </row>
    <row r="893" spans="1:12" x14ac:dyDescent="0.3">
      <c r="A893" s="8" t="s">
        <v>925</v>
      </c>
      <c r="B893" s="9">
        <v>45818</v>
      </c>
      <c r="C893" s="8" t="s">
        <v>23</v>
      </c>
      <c r="D893" s="8" t="s">
        <v>21</v>
      </c>
      <c r="E893" s="8" t="s">
        <v>18</v>
      </c>
      <c r="F893" s="8" t="s">
        <v>19</v>
      </c>
      <c r="G893" s="7">
        <v>6</v>
      </c>
      <c r="H893" s="7">
        <v>33430</v>
      </c>
      <c r="I893" s="7">
        <v>37893</v>
      </c>
      <c r="J893" s="7">
        <f t="shared" si="39"/>
        <v>200580</v>
      </c>
      <c r="K893" s="7">
        <f t="shared" si="40"/>
        <v>227358</v>
      </c>
      <c r="L893" s="8">
        <f t="shared" si="41"/>
        <v>26778</v>
      </c>
    </row>
    <row r="894" spans="1:12" x14ac:dyDescent="0.3">
      <c r="A894" s="8" t="s">
        <v>926</v>
      </c>
      <c r="B894" s="9">
        <v>45819</v>
      </c>
      <c r="C894" s="8" t="s">
        <v>26</v>
      </c>
      <c r="D894" s="8" t="s">
        <v>17</v>
      </c>
      <c r="E894" s="8" t="s">
        <v>14</v>
      </c>
      <c r="F894" s="8" t="s">
        <v>22</v>
      </c>
      <c r="G894" s="7">
        <v>5</v>
      </c>
      <c r="H894" s="7">
        <v>35197</v>
      </c>
      <c r="I894" s="7">
        <v>37896</v>
      </c>
      <c r="J894" s="7">
        <f t="shared" si="39"/>
        <v>175985</v>
      </c>
      <c r="K894" s="7">
        <f t="shared" si="40"/>
        <v>189480</v>
      </c>
      <c r="L894" s="8">
        <f t="shared" si="41"/>
        <v>13495</v>
      </c>
    </row>
    <row r="895" spans="1:12" x14ac:dyDescent="0.3">
      <c r="A895" s="8" t="s">
        <v>927</v>
      </c>
      <c r="B895" s="9">
        <v>45820</v>
      </c>
      <c r="C895" s="8" t="s">
        <v>16</v>
      </c>
      <c r="D895" s="8" t="s">
        <v>24</v>
      </c>
      <c r="E895" s="8" t="s">
        <v>14</v>
      </c>
      <c r="F895" s="8" t="s">
        <v>22</v>
      </c>
      <c r="G895" s="7">
        <v>1</v>
      </c>
      <c r="H895" s="7">
        <v>27078</v>
      </c>
      <c r="I895" s="7">
        <v>31452</v>
      </c>
      <c r="J895" s="7">
        <f t="shared" si="39"/>
        <v>27078</v>
      </c>
      <c r="K895" s="7">
        <f t="shared" si="40"/>
        <v>31452</v>
      </c>
      <c r="L895" s="8">
        <f t="shared" si="41"/>
        <v>4374</v>
      </c>
    </row>
    <row r="896" spans="1:12" x14ac:dyDescent="0.3">
      <c r="A896" s="8" t="s">
        <v>928</v>
      </c>
      <c r="B896" s="9">
        <v>45821</v>
      </c>
      <c r="C896" s="8" t="s">
        <v>12</v>
      </c>
      <c r="D896" s="8" t="s">
        <v>29</v>
      </c>
      <c r="E896" s="8" t="s">
        <v>18</v>
      </c>
      <c r="F896" s="8" t="s">
        <v>19</v>
      </c>
      <c r="G896" s="7">
        <v>5</v>
      </c>
      <c r="H896" s="7">
        <v>12205</v>
      </c>
      <c r="I896" s="7">
        <v>17630</v>
      </c>
      <c r="J896" s="7">
        <f t="shared" si="39"/>
        <v>61025</v>
      </c>
      <c r="K896" s="7">
        <f t="shared" si="40"/>
        <v>88150</v>
      </c>
      <c r="L896" s="8">
        <f t="shared" si="41"/>
        <v>27125</v>
      </c>
    </row>
    <row r="897" spans="1:12" x14ac:dyDescent="0.3">
      <c r="A897" s="8" t="s">
        <v>929</v>
      </c>
      <c r="B897" s="9">
        <v>45822</v>
      </c>
      <c r="C897" s="8" t="s">
        <v>26</v>
      </c>
      <c r="D897" s="8" t="s">
        <v>27</v>
      </c>
      <c r="E897" s="8" t="s">
        <v>14</v>
      </c>
      <c r="F897" s="8" t="s">
        <v>20</v>
      </c>
      <c r="G897" s="7">
        <v>4</v>
      </c>
      <c r="H897" s="7">
        <v>3369</v>
      </c>
      <c r="I897" s="7">
        <v>6143</v>
      </c>
      <c r="J897" s="7">
        <f t="shared" si="39"/>
        <v>13476</v>
      </c>
      <c r="K897" s="7">
        <f t="shared" si="40"/>
        <v>24572</v>
      </c>
      <c r="L897" s="8">
        <f t="shared" si="41"/>
        <v>11096</v>
      </c>
    </row>
    <row r="898" spans="1:12" x14ac:dyDescent="0.3">
      <c r="A898" s="8" t="s">
        <v>930</v>
      </c>
      <c r="B898" s="9">
        <v>45823</v>
      </c>
      <c r="C898" s="8" t="s">
        <v>12</v>
      </c>
      <c r="D898" s="8" t="s">
        <v>27</v>
      </c>
      <c r="E898" s="8" t="s">
        <v>14</v>
      </c>
      <c r="F898" s="8" t="s">
        <v>15</v>
      </c>
      <c r="G898" s="7">
        <v>1</v>
      </c>
      <c r="H898" s="7">
        <v>36937</v>
      </c>
      <c r="I898" s="7">
        <v>39506</v>
      </c>
      <c r="J898" s="7">
        <f t="shared" si="39"/>
        <v>36937</v>
      </c>
      <c r="K898" s="7">
        <f t="shared" si="40"/>
        <v>39506</v>
      </c>
      <c r="L898" s="8">
        <f t="shared" si="41"/>
        <v>2569</v>
      </c>
    </row>
    <row r="899" spans="1:12" x14ac:dyDescent="0.3">
      <c r="A899" s="8" t="s">
        <v>931</v>
      </c>
      <c r="B899" s="9">
        <v>45824</v>
      </c>
      <c r="C899" s="8" t="s">
        <v>23</v>
      </c>
      <c r="D899" s="8" t="s">
        <v>29</v>
      </c>
      <c r="E899" s="8" t="s">
        <v>14</v>
      </c>
      <c r="F899" s="8" t="s">
        <v>22</v>
      </c>
      <c r="G899" s="7">
        <v>8</v>
      </c>
      <c r="H899" s="7">
        <v>34805</v>
      </c>
      <c r="I899" s="7">
        <v>41124</v>
      </c>
      <c r="J899" s="7">
        <f t="shared" ref="J899:J962" si="42">G899*H899</f>
        <v>278440</v>
      </c>
      <c r="K899" s="7">
        <f t="shared" ref="K899:K962" si="43">G899*I899</f>
        <v>328992</v>
      </c>
      <c r="L899" s="8">
        <f t="shared" ref="L899:L962" si="44">(I899-H899)*G899</f>
        <v>50552</v>
      </c>
    </row>
    <row r="900" spans="1:12" x14ac:dyDescent="0.3">
      <c r="A900" s="8" t="s">
        <v>932</v>
      </c>
      <c r="B900" s="9">
        <v>45825</v>
      </c>
      <c r="C900" s="8" t="s">
        <v>16</v>
      </c>
      <c r="D900" s="8" t="s">
        <v>17</v>
      </c>
      <c r="E900" s="8" t="s">
        <v>18</v>
      </c>
      <c r="F900" s="8" t="s">
        <v>19</v>
      </c>
      <c r="G900" s="7">
        <v>1</v>
      </c>
      <c r="H900" s="7">
        <v>30007</v>
      </c>
      <c r="I900" s="7">
        <v>32685</v>
      </c>
      <c r="J900" s="7">
        <f t="shared" si="42"/>
        <v>30007</v>
      </c>
      <c r="K900" s="7">
        <f t="shared" si="43"/>
        <v>32685</v>
      </c>
      <c r="L900" s="8">
        <f t="shared" si="44"/>
        <v>2678</v>
      </c>
    </row>
    <row r="901" spans="1:12" x14ac:dyDescent="0.3">
      <c r="A901" s="8" t="s">
        <v>933</v>
      </c>
      <c r="B901" s="9">
        <v>45826</v>
      </c>
      <c r="C901" s="8" t="s">
        <v>12</v>
      </c>
      <c r="D901" s="8" t="s">
        <v>24</v>
      </c>
      <c r="E901" s="8" t="s">
        <v>14</v>
      </c>
      <c r="F901" s="8" t="s">
        <v>15</v>
      </c>
      <c r="G901" s="7">
        <v>4</v>
      </c>
      <c r="H901" s="7">
        <v>7074</v>
      </c>
      <c r="I901" s="7">
        <v>11049</v>
      </c>
      <c r="J901" s="7">
        <f t="shared" si="42"/>
        <v>28296</v>
      </c>
      <c r="K901" s="7">
        <f t="shared" si="43"/>
        <v>44196</v>
      </c>
      <c r="L901" s="8">
        <f t="shared" si="44"/>
        <v>15900</v>
      </c>
    </row>
    <row r="902" spans="1:12" x14ac:dyDescent="0.3">
      <c r="A902" s="8" t="s">
        <v>934</v>
      </c>
      <c r="B902" s="9">
        <v>45827</v>
      </c>
      <c r="C902" s="8" t="s">
        <v>12</v>
      </c>
      <c r="D902" s="8" t="s">
        <v>21</v>
      </c>
      <c r="E902" s="8" t="s">
        <v>18</v>
      </c>
      <c r="F902" s="8" t="s">
        <v>28</v>
      </c>
      <c r="G902" s="7">
        <v>8</v>
      </c>
      <c r="H902" s="7">
        <v>7081</v>
      </c>
      <c r="I902" s="7">
        <v>12601</v>
      </c>
      <c r="J902" s="7">
        <f t="shared" si="42"/>
        <v>56648</v>
      </c>
      <c r="K902" s="7">
        <f t="shared" si="43"/>
        <v>100808</v>
      </c>
      <c r="L902" s="8">
        <f t="shared" si="44"/>
        <v>44160</v>
      </c>
    </row>
    <row r="903" spans="1:12" x14ac:dyDescent="0.3">
      <c r="A903" s="8" t="s">
        <v>935</v>
      </c>
      <c r="B903" s="9">
        <v>45828</v>
      </c>
      <c r="C903" s="8" t="s">
        <v>26</v>
      </c>
      <c r="D903" s="8" t="s">
        <v>13</v>
      </c>
      <c r="E903" s="8" t="s">
        <v>14</v>
      </c>
      <c r="F903" s="8" t="s">
        <v>22</v>
      </c>
      <c r="G903" s="7">
        <v>2</v>
      </c>
      <c r="H903" s="7">
        <v>11952</v>
      </c>
      <c r="I903" s="7">
        <v>20595</v>
      </c>
      <c r="J903" s="7">
        <f t="shared" si="42"/>
        <v>23904</v>
      </c>
      <c r="K903" s="7">
        <f t="shared" si="43"/>
        <v>41190</v>
      </c>
      <c r="L903" s="8">
        <f t="shared" si="44"/>
        <v>17286</v>
      </c>
    </row>
    <row r="904" spans="1:12" x14ac:dyDescent="0.3">
      <c r="A904" s="8" t="s">
        <v>936</v>
      </c>
      <c r="B904" s="9">
        <v>45829</v>
      </c>
      <c r="C904" s="8" t="s">
        <v>12</v>
      </c>
      <c r="D904" s="8" t="s">
        <v>24</v>
      </c>
      <c r="E904" s="8" t="s">
        <v>14</v>
      </c>
      <c r="F904" s="8" t="s">
        <v>15</v>
      </c>
      <c r="G904" s="7">
        <v>4</v>
      </c>
      <c r="H904" s="7">
        <v>19410</v>
      </c>
      <c r="I904" s="7">
        <v>20626</v>
      </c>
      <c r="J904" s="7">
        <f t="shared" si="42"/>
        <v>77640</v>
      </c>
      <c r="K904" s="7">
        <f t="shared" si="43"/>
        <v>82504</v>
      </c>
      <c r="L904" s="8">
        <f t="shared" si="44"/>
        <v>4864</v>
      </c>
    </row>
    <row r="905" spans="1:12" x14ac:dyDescent="0.3">
      <c r="A905" s="8" t="s">
        <v>937</v>
      </c>
      <c r="B905" s="9">
        <v>45830</v>
      </c>
      <c r="C905" s="8" t="s">
        <v>26</v>
      </c>
      <c r="D905" s="8" t="s">
        <v>27</v>
      </c>
      <c r="E905" s="8" t="s">
        <v>18</v>
      </c>
      <c r="F905" s="8" t="s">
        <v>19</v>
      </c>
      <c r="G905" s="7">
        <v>3</v>
      </c>
      <c r="H905" s="7">
        <v>29187</v>
      </c>
      <c r="I905" s="7">
        <v>32082</v>
      </c>
      <c r="J905" s="7">
        <f t="shared" si="42"/>
        <v>87561</v>
      </c>
      <c r="K905" s="7">
        <f t="shared" si="43"/>
        <v>96246</v>
      </c>
      <c r="L905" s="8">
        <f t="shared" si="44"/>
        <v>8685</v>
      </c>
    </row>
    <row r="906" spans="1:12" x14ac:dyDescent="0.3">
      <c r="A906" s="8" t="s">
        <v>938</v>
      </c>
      <c r="B906" s="9">
        <v>45831</v>
      </c>
      <c r="C906" s="8" t="s">
        <v>12</v>
      </c>
      <c r="D906" s="8" t="s">
        <v>21</v>
      </c>
      <c r="E906" s="8" t="s">
        <v>18</v>
      </c>
      <c r="F906" s="8" t="s">
        <v>19</v>
      </c>
      <c r="G906" s="7">
        <v>10</v>
      </c>
      <c r="H906" s="7">
        <v>19042</v>
      </c>
      <c r="I906" s="7">
        <v>21257</v>
      </c>
      <c r="J906" s="7">
        <f t="shared" si="42"/>
        <v>190420</v>
      </c>
      <c r="K906" s="7">
        <f t="shared" si="43"/>
        <v>212570</v>
      </c>
      <c r="L906" s="8">
        <f t="shared" si="44"/>
        <v>22150</v>
      </c>
    </row>
    <row r="907" spans="1:12" x14ac:dyDescent="0.3">
      <c r="A907" s="8" t="s">
        <v>939</v>
      </c>
      <c r="B907" s="9">
        <v>45832</v>
      </c>
      <c r="C907" s="8" t="s">
        <v>16</v>
      </c>
      <c r="D907" s="8" t="s">
        <v>17</v>
      </c>
      <c r="E907" s="8" t="s">
        <v>14</v>
      </c>
      <c r="F907" s="8" t="s">
        <v>22</v>
      </c>
      <c r="G907" s="7">
        <v>7</v>
      </c>
      <c r="H907" s="7">
        <v>16048</v>
      </c>
      <c r="I907" s="7">
        <v>16326</v>
      </c>
      <c r="J907" s="7">
        <f t="shared" si="42"/>
        <v>112336</v>
      </c>
      <c r="K907" s="7">
        <f t="shared" si="43"/>
        <v>114282</v>
      </c>
      <c r="L907" s="8">
        <f t="shared" si="44"/>
        <v>1946</v>
      </c>
    </row>
    <row r="908" spans="1:12" x14ac:dyDescent="0.3">
      <c r="A908" s="8" t="s">
        <v>940</v>
      </c>
      <c r="B908" s="9">
        <v>45833</v>
      </c>
      <c r="C908" s="8" t="s">
        <v>26</v>
      </c>
      <c r="D908" s="8" t="s">
        <v>13</v>
      </c>
      <c r="E908" s="8" t="s">
        <v>14</v>
      </c>
      <c r="F908" s="8" t="s">
        <v>20</v>
      </c>
      <c r="G908" s="7">
        <v>6</v>
      </c>
      <c r="H908" s="7">
        <v>33812</v>
      </c>
      <c r="I908" s="7">
        <v>43263</v>
      </c>
      <c r="J908" s="7">
        <f t="shared" si="42"/>
        <v>202872</v>
      </c>
      <c r="K908" s="7">
        <f t="shared" si="43"/>
        <v>259578</v>
      </c>
      <c r="L908" s="8">
        <f t="shared" si="44"/>
        <v>56706</v>
      </c>
    </row>
    <row r="909" spans="1:12" x14ac:dyDescent="0.3">
      <c r="A909" s="8" t="s">
        <v>941</v>
      </c>
      <c r="B909" s="9">
        <v>45834</v>
      </c>
      <c r="C909" s="8" t="s">
        <v>23</v>
      </c>
      <c r="D909" s="8" t="s">
        <v>27</v>
      </c>
      <c r="E909" s="8" t="s">
        <v>18</v>
      </c>
      <c r="F909" s="8" t="s">
        <v>25</v>
      </c>
      <c r="G909" s="7">
        <v>10</v>
      </c>
      <c r="H909" s="7">
        <v>11329</v>
      </c>
      <c r="I909" s="7">
        <v>11827</v>
      </c>
      <c r="J909" s="7">
        <f t="shared" si="42"/>
        <v>113290</v>
      </c>
      <c r="K909" s="7">
        <f t="shared" si="43"/>
        <v>118270</v>
      </c>
      <c r="L909" s="8">
        <f t="shared" si="44"/>
        <v>4980</v>
      </c>
    </row>
    <row r="910" spans="1:12" x14ac:dyDescent="0.3">
      <c r="A910" s="8" t="s">
        <v>942</v>
      </c>
      <c r="B910" s="9">
        <v>45835</v>
      </c>
      <c r="C910" s="8" t="s">
        <v>12</v>
      </c>
      <c r="D910" s="8" t="s">
        <v>27</v>
      </c>
      <c r="E910" s="8" t="s">
        <v>14</v>
      </c>
      <c r="F910" s="8" t="s">
        <v>15</v>
      </c>
      <c r="G910" s="7">
        <v>9</v>
      </c>
      <c r="H910" s="7">
        <v>14704</v>
      </c>
      <c r="I910" s="7">
        <v>21844</v>
      </c>
      <c r="J910" s="7">
        <f t="shared" si="42"/>
        <v>132336</v>
      </c>
      <c r="K910" s="7">
        <f t="shared" si="43"/>
        <v>196596</v>
      </c>
      <c r="L910" s="8">
        <f t="shared" si="44"/>
        <v>64260</v>
      </c>
    </row>
    <row r="911" spans="1:12" x14ac:dyDescent="0.3">
      <c r="A911" s="8" t="s">
        <v>943</v>
      </c>
      <c r="B911" s="9">
        <v>45836</v>
      </c>
      <c r="C911" s="8" t="s">
        <v>12</v>
      </c>
      <c r="D911" s="8" t="s">
        <v>13</v>
      </c>
      <c r="E911" s="8" t="s">
        <v>18</v>
      </c>
      <c r="F911" s="8" t="s">
        <v>28</v>
      </c>
      <c r="G911" s="7">
        <v>3</v>
      </c>
      <c r="H911" s="7">
        <v>18202</v>
      </c>
      <c r="I911" s="7">
        <v>22196</v>
      </c>
      <c r="J911" s="7">
        <f t="shared" si="42"/>
        <v>54606</v>
      </c>
      <c r="K911" s="7">
        <f t="shared" si="43"/>
        <v>66588</v>
      </c>
      <c r="L911" s="8">
        <f t="shared" si="44"/>
        <v>11982</v>
      </c>
    </row>
    <row r="912" spans="1:12" x14ac:dyDescent="0.3">
      <c r="A912" s="8" t="s">
        <v>944</v>
      </c>
      <c r="B912" s="9">
        <v>45837</v>
      </c>
      <c r="C912" s="8" t="s">
        <v>26</v>
      </c>
      <c r="D912" s="8" t="s">
        <v>17</v>
      </c>
      <c r="E912" s="8" t="s">
        <v>14</v>
      </c>
      <c r="F912" s="8" t="s">
        <v>20</v>
      </c>
      <c r="G912" s="7">
        <v>10</v>
      </c>
      <c r="H912" s="7">
        <v>7238</v>
      </c>
      <c r="I912" s="7">
        <v>9876</v>
      </c>
      <c r="J912" s="7">
        <f t="shared" si="42"/>
        <v>72380</v>
      </c>
      <c r="K912" s="7">
        <f t="shared" si="43"/>
        <v>98760</v>
      </c>
      <c r="L912" s="8">
        <f t="shared" si="44"/>
        <v>26380</v>
      </c>
    </row>
    <row r="913" spans="1:12" x14ac:dyDescent="0.3">
      <c r="A913" s="8" t="s">
        <v>945</v>
      </c>
      <c r="B913" s="9">
        <v>45838</v>
      </c>
      <c r="C913" s="8" t="s">
        <v>12</v>
      </c>
      <c r="D913" s="8" t="s">
        <v>29</v>
      </c>
      <c r="E913" s="8" t="s">
        <v>18</v>
      </c>
      <c r="F913" s="8" t="s">
        <v>25</v>
      </c>
      <c r="G913" s="7">
        <v>4</v>
      </c>
      <c r="H913" s="7">
        <v>27876</v>
      </c>
      <c r="I913" s="7">
        <v>34141</v>
      </c>
      <c r="J913" s="7">
        <f t="shared" si="42"/>
        <v>111504</v>
      </c>
      <c r="K913" s="7">
        <f t="shared" si="43"/>
        <v>136564</v>
      </c>
      <c r="L913" s="8">
        <f t="shared" si="44"/>
        <v>25060</v>
      </c>
    </row>
    <row r="914" spans="1:12" x14ac:dyDescent="0.3">
      <c r="A914" s="8" t="s">
        <v>946</v>
      </c>
      <c r="B914" s="9">
        <v>45839</v>
      </c>
      <c r="C914" s="8" t="s">
        <v>16</v>
      </c>
      <c r="D914" s="8" t="s">
        <v>27</v>
      </c>
      <c r="E914" s="8" t="s">
        <v>18</v>
      </c>
      <c r="F914" s="8" t="s">
        <v>28</v>
      </c>
      <c r="G914" s="7">
        <v>3</v>
      </c>
      <c r="H914" s="7">
        <v>36655</v>
      </c>
      <c r="I914" s="7">
        <v>37015</v>
      </c>
      <c r="J914" s="7">
        <f t="shared" si="42"/>
        <v>109965</v>
      </c>
      <c r="K914" s="7">
        <f t="shared" si="43"/>
        <v>111045</v>
      </c>
      <c r="L914" s="8">
        <f t="shared" si="44"/>
        <v>1080</v>
      </c>
    </row>
    <row r="915" spans="1:12" x14ac:dyDescent="0.3">
      <c r="A915" s="8" t="s">
        <v>947</v>
      </c>
      <c r="B915" s="9">
        <v>45840</v>
      </c>
      <c r="C915" s="8" t="s">
        <v>12</v>
      </c>
      <c r="D915" s="8" t="s">
        <v>24</v>
      </c>
      <c r="E915" s="8" t="s">
        <v>18</v>
      </c>
      <c r="F915" s="8" t="s">
        <v>25</v>
      </c>
      <c r="G915" s="7">
        <v>5</v>
      </c>
      <c r="H915" s="7">
        <v>21165</v>
      </c>
      <c r="I915" s="7">
        <v>22995</v>
      </c>
      <c r="J915" s="7">
        <f t="shared" si="42"/>
        <v>105825</v>
      </c>
      <c r="K915" s="7">
        <f t="shared" si="43"/>
        <v>114975</v>
      </c>
      <c r="L915" s="8">
        <f t="shared" si="44"/>
        <v>9150</v>
      </c>
    </row>
    <row r="916" spans="1:12" x14ac:dyDescent="0.3">
      <c r="A916" s="8" t="s">
        <v>948</v>
      </c>
      <c r="B916" s="9">
        <v>45841</v>
      </c>
      <c r="C916" s="8" t="s">
        <v>16</v>
      </c>
      <c r="D916" s="8" t="s">
        <v>27</v>
      </c>
      <c r="E916" s="8" t="s">
        <v>18</v>
      </c>
      <c r="F916" s="8" t="s">
        <v>19</v>
      </c>
      <c r="G916" s="7">
        <v>7</v>
      </c>
      <c r="H916" s="7">
        <v>7948</v>
      </c>
      <c r="I916" s="7">
        <v>11686</v>
      </c>
      <c r="J916" s="7">
        <f t="shared" si="42"/>
        <v>55636</v>
      </c>
      <c r="K916" s="7">
        <f t="shared" si="43"/>
        <v>81802</v>
      </c>
      <c r="L916" s="8">
        <f t="shared" si="44"/>
        <v>26166</v>
      </c>
    </row>
    <row r="917" spans="1:12" x14ac:dyDescent="0.3">
      <c r="A917" s="8" t="s">
        <v>949</v>
      </c>
      <c r="B917" s="9">
        <v>45842</v>
      </c>
      <c r="C917" s="8" t="s">
        <v>12</v>
      </c>
      <c r="D917" s="8" t="s">
        <v>17</v>
      </c>
      <c r="E917" s="8" t="s">
        <v>14</v>
      </c>
      <c r="F917" s="8" t="s">
        <v>22</v>
      </c>
      <c r="G917" s="7">
        <v>5</v>
      </c>
      <c r="H917" s="7">
        <v>12571</v>
      </c>
      <c r="I917" s="7">
        <v>20774</v>
      </c>
      <c r="J917" s="7">
        <f t="shared" si="42"/>
        <v>62855</v>
      </c>
      <c r="K917" s="7">
        <f t="shared" si="43"/>
        <v>103870</v>
      </c>
      <c r="L917" s="8">
        <f t="shared" si="44"/>
        <v>41015</v>
      </c>
    </row>
    <row r="918" spans="1:12" x14ac:dyDescent="0.3">
      <c r="A918" s="8" t="s">
        <v>950</v>
      </c>
      <c r="B918" s="9">
        <v>45843</v>
      </c>
      <c r="C918" s="8" t="s">
        <v>23</v>
      </c>
      <c r="D918" s="8" t="s">
        <v>24</v>
      </c>
      <c r="E918" s="8" t="s">
        <v>18</v>
      </c>
      <c r="F918" s="8" t="s">
        <v>19</v>
      </c>
      <c r="G918" s="7">
        <v>7</v>
      </c>
      <c r="H918" s="7">
        <v>11880</v>
      </c>
      <c r="I918" s="7">
        <v>12597</v>
      </c>
      <c r="J918" s="7">
        <f t="shared" si="42"/>
        <v>83160</v>
      </c>
      <c r="K918" s="7">
        <f t="shared" si="43"/>
        <v>88179</v>
      </c>
      <c r="L918" s="8">
        <f t="shared" si="44"/>
        <v>5019</v>
      </c>
    </row>
    <row r="919" spans="1:12" x14ac:dyDescent="0.3">
      <c r="A919" s="8" t="s">
        <v>951</v>
      </c>
      <c r="B919" s="9">
        <v>45844</v>
      </c>
      <c r="C919" s="8" t="s">
        <v>16</v>
      </c>
      <c r="D919" s="8" t="s">
        <v>27</v>
      </c>
      <c r="E919" s="8" t="s">
        <v>18</v>
      </c>
      <c r="F919" s="8" t="s">
        <v>25</v>
      </c>
      <c r="G919" s="7">
        <v>4</v>
      </c>
      <c r="H919" s="7">
        <v>14808</v>
      </c>
      <c r="I919" s="7">
        <v>23237</v>
      </c>
      <c r="J919" s="7">
        <f t="shared" si="42"/>
        <v>59232</v>
      </c>
      <c r="K919" s="7">
        <f t="shared" si="43"/>
        <v>92948</v>
      </c>
      <c r="L919" s="8">
        <f t="shared" si="44"/>
        <v>33716</v>
      </c>
    </row>
    <row r="920" spans="1:12" x14ac:dyDescent="0.3">
      <c r="A920" s="8" t="s">
        <v>952</v>
      </c>
      <c r="B920" s="9">
        <v>45845</v>
      </c>
      <c r="C920" s="8" t="s">
        <v>12</v>
      </c>
      <c r="D920" s="8" t="s">
        <v>29</v>
      </c>
      <c r="E920" s="8" t="s">
        <v>14</v>
      </c>
      <c r="F920" s="8" t="s">
        <v>20</v>
      </c>
      <c r="G920" s="7">
        <v>9</v>
      </c>
      <c r="H920" s="7">
        <v>14728</v>
      </c>
      <c r="I920" s="7">
        <v>19569</v>
      </c>
      <c r="J920" s="7">
        <f t="shared" si="42"/>
        <v>132552</v>
      </c>
      <c r="K920" s="7">
        <f t="shared" si="43"/>
        <v>176121</v>
      </c>
      <c r="L920" s="8">
        <f t="shared" si="44"/>
        <v>43569</v>
      </c>
    </row>
    <row r="921" spans="1:12" x14ac:dyDescent="0.3">
      <c r="A921" s="8" t="s">
        <v>953</v>
      </c>
      <c r="B921" s="9">
        <v>45846</v>
      </c>
      <c r="C921" s="8" t="s">
        <v>26</v>
      </c>
      <c r="D921" s="8" t="s">
        <v>29</v>
      </c>
      <c r="E921" s="8" t="s">
        <v>18</v>
      </c>
      <c r="F921" s="8" t="s">
        <v>28</v>
      </c>
      <c r="G921" s="7">
        <v>10</v>
      </c>
      <c r="H921" s="7">
        <v>21577</v>
      </c>
      <c r="I921" s="7">
        <v>24858</v>
      </c>
      <c r="J921" s="7">
        <f t="shared" si="42"/>
        <v>215770</v>
      </c>
      <c r="K921" s="7">
        <f t="shared" si="43"/>
        <v>248580</v>
      </c>
      <c r="L921" s="8">
        <f t="shared" si="44"/>
        <v>32810</v>
      </c>
    </row>
    <row r="922" spans="1:12" x14ac:dyDescent="0.3">
      <c r="A922" s="8" t="s">
        <v>954</v>
      </c>
      <c r="B922" s="9">
        <v>45847</v>
      </c>
      <c r="C922" s="8" t="s">
        <v>26</v>
      </c>
      <c r="D922" s="8" t="s">
        <v>21</v>
      </c>
      <c r="E922" s="8" t="s">
        <v>14</v>
      </c>
      <c r="F922" s="8" t="s">
        <v>22</v>
      </c>
      <c r="G922" s="7">
        <v>1</v>
      </c>
      <c r="H922" s="7">
        <v>20680</v>
      </c>
      <c r="I922" s="7">
        <v>24395</v>
      </c>
      <c r="J922" s="7">
        <f t="shared" si="42"/>
        <v>20680</v>
      </c>
      <c r="K922" s="7">
        <f t="shared" si="43"/>
        <v>24395</v>
      </c>
      <c r="L922" s="8">
        <f t="shared" si="44"/>
        <v>3715</v>
      </c>
    </row>
    <row r="923" spans="1:12" x14ac:dyDescent="0.3">
      <c r="A923" s="8" t="s">
        <v>955</v>
      </c>
      <c r="B923" s="9">
        <v>45848</v>
      </c>
      <c r="C923" s="8" t="s">
        <v>26</v>
      </c>
      <c r="D923" s="8" t="s">
        <v>21</v>
      </c>
      <c r="E923" s="8" t="s">
        <v>18</v>
      </c>
      <c r="F923" s="8" t="s">
        <v>19</v>
      </c>
      <c r="G923" s="7">
        <v>4</v>
      </c>
      <c r="H923" s="7">
        <v>2704</v>
      </c>
      <c r="I923" s="7">
        <v>3473</v>
      </c>
      <c r="J923" s="7">
        <f t="shared" si="42"/>
        <v>10816</v>
      </c>
      <c r="K923" s="7">
        <f t="shared" si="43"/>
        <v>13892</v>
      </c>
      <c r="L923" s="8">
        <f t="shared" si="44"/>
        <v>3076</v>
      </c>
    </row>
    <row r="924" spans="1:12" x14ac:dyDescent="0.3">
      <c r="A924" s="8" t="s">
        <v>956</v>
      </c>
      <c r="B924" s="9">
        <v>45849</v>
      </c>
      <c r="C924" s="8" t="s">
        <v>23</v>
      </c>
      <c r="D924" s="8" t="s">
        <v>29</v>
      </c>
      <c r="E924" s="8" t="s">
        <v>14</v>
      </c>
      <c r="F924" s="8" t="s">
        <v>15</v>
      </c>
      <c r="G924" s="7">
        <v>4</v>
      </c>
      <c r="H924" s="7">
        <v>13297</v>
      </c>
      <c r="I924" s="7">
        <v>21897</v>
      </c>
      <c r="J924" s="7">
        <f t="shared" si="42"/>
        <v>53188</v>
      </c>
      <c r="K924" s="7">
        <f t="shared" si="43"/>
        <v>87588</v>
      </c>
      <c r="L924" s="8">
        <f t="shared" si="44"/>
        <v>34400</v>
      </c>
    </row>
    <row r="925" spans="1:12" x14ac:dyDescent="0.3">
      <c r="A925" s="8" t="s">
        <v>957</v>
      </c>
      <c r="B925" s="9">
        <v>45850</v>
      </c>
      <c r="C925" s="8" t="s">
        <v>16</v>
      </c>
      <c r="D925" s="8" t="s">
        <v>29</v>
      </c>
      <c r="E925" s="8" t="s">
        <v>14</v>
      </c>
      <c r="F925" s="8" t="s">
        <v>22</v>
      </c>
      <c r="G925" s="7">
        <v>1</v>
      </c>
      <c r="H925" s="7">
        <v>5827</v>
      </c>
      <c r="I925" s="7">
        <v>13208</v>
      </c>
      <c r="J925" s="7">
        <f t="shared" si="42"/>
        <v>5827</v>
      </c>
      <c r="K925" s="7">
        <f t="shared" si="43"/>
        <v>13208</v>
      </c>
      <c r="L925" s="8">
        <f t="shared" si="44"/>
        <v>7381</v>
      </c>
    </row>
    <row r="926" spans="1:12" x14ac:dyDescent="0.3">
      <c r="A926" s="8" t="s">
        <v>958</v>
      </c>
      <c r="B926" s="9">
        <v>45851</v>
      </c>
      <c r="C926" s="8" t="s">
        <v>26</v>
      </c>
      <c r="D926" s="8" t="s">
        <v>21</v>
      </c>
      <c r="E926" s="8" t="s">
        <v>18</v>
      </c>
      <c r="F926" s="8" t="s">
        <v>19</v>
      </c>
      <c r="G926" s="7">
        <v>1</v>
      </c>
      <c r="H926" s="7">
        <v>31429</v>
      </c>
      <c r="I926" s="7">
        <v>38435</v>
      </c>
      <c r="J926" s="7">
        <f t="shared" si="42"/>
        <v>31429</v>
      </c>
      <c r="K926" s="7">
        <f t="shared" si="43"/>
        <v>38435</v>
      </c>
      <c r="L926" s="8">
        <f t="shared" si="44"/>
        <v>7006</v>
      </c>
    </row>
    <row r="927" spans="1:12" x14ac:dyDescent="0.3">
      <c r="A927" s="8" t="s">
        <v>959</v>
      </c>
      <c r="B927" s="9">
        <v>45852</v>
      </c>
      <c r="C927" s="8" t="s">
        <v>16</v>
      </c>
      <c r="D927" s="8" t="s">
        <v>21</v>
      </c>
      <c r="E927" s="8" t="s">
        <v>18</v>
      </c>
      <c r="F927" s="8" t="s">
        <v>28</v>
      </c>
      <c r="G927" s="7">
        <v>5</v>
      </c>
      <c r="H927" s="7">
        <v>16593</v>
      </c>
      <c r="I927" s="7">
        <v>21660</v>
      </c>
      <c r="J927" s="7">
        <f t="shared" si="42"/>
        <v>82965</v>
      </c>
      <c r="K927" s="7">
        <f t="shared" si="43"/>
        <v>108300</v>
      </c>
      <c r="L927" s="8">
        <f t="shared" si="44"/>
        <v>25335</v>
      </c>
    </row>
    <row r="928" spans="1:12" x14ac:dyDescent="0.3">
      <c r="A928" s="8" t="s">
        <v>960</v>
      </c>
      <c r="B928" s="9">
        <v>45853</v>
      </c>
      <c r="C928" s="8" t="s">
        <v>12</v>
      </c>
      <c r="D928" s="8" t="s">
        <v>29</v>
      </c>
      <c r="E928" s="8" t="s">
        <v>14</v>
      </c>
      <c r="F928" s="8" t="s">
        <v>20</v>
      </c>
      <c r="G928" s="7">
        <v>9</v>
      </c>
      <c r="H928" s="7">
        <v>33997</v>
      </c>
      <c r="I928" s="7">
        <v>38959</v>
      </c>
      <c r="J928" s="7">
        <f t="shared" si="42"/>
        <v>305973</v>
      </c>
      <c r="K928" s="7">
        <f t="shared" si="43"/>
        <v>350631</v>
      </c>
      <c r="L928" s="8">
        <f t="shared" si="44"/>
        <v>44658</v>
      </c>
    </row>
    <row r="929" spans="1:12" x14ac:dyDescent="0.3">
      <c r="A929" s="8" t="s">
        <v>961</v>
      </c>
      <c r="B929" s="9">
        <v>45854</v>
      </c>
      <c r="C929" s="8" t="s">
        <v>16</v>
      </c>
      <c r="D929" s="8" t="s">
        <v>13</v>
      </c>
      <c r="E929" s="8" t="s">
        <v>18</v>
      </c>
      <c r="F929" s="8" t="s">
        <v>19</v>
      </c>
      <c r="G929" s="7">
        <v>10</v>
      </c>
      <c r="H929" s="7">
        <v>9833</v>
      </c>
      <c r="I929" s="7">
        <v>19037</v>
      </c>
      <c r="J929" s="7">
        <f t="shared" si="42"/>
        <v>98330</v>
      </c>
      <c r="K929" s="7">
        <f t="shared" si="43"/>
        <v>190370</v>
      </c>
      <c r="L929" s="8">
        <f t="shared" si="44"/>
        <v>92040</v>
      </c>
    </row>
    <row r="930" spans="1:12" x14ac:dyDescent="0.3">
      <c r="A930" s="8" t="s">
        <v>962</v>
      </c>
      <c r="B930" s="9">
        <v>45855</v>
      </c>
      <c r="C930" s="8" t="s">
        <v>26</v>
      </c>
      <c r="D930" s="8" t="s">
        <v>29</v>
      </c>
      <c r="E930" s="8" t="s">
        <v>14</v>
      </c>
      <c r="F930" s="8" t="s">
        <v>15</v>
      </c>
      <c r="G930" s="7">
        <v>8</v>
      </c>
      <c r="H930" s="7">
        <v>20239</v>
      </c>
      <c r="I930" s="7">
        <v>28077</v>
      </c>
      <c r="J930" s="7">
        <f t="shared" si="42"/>
        <v>161912</v>
      </c>
      <c r="K930" s="7">
        <f t="shared" si="43"/>
        <v>224616</v>
      </c>
      <c r="L930" s="8">
        <f t="shared" si="44"/>
        <v>62704</v>
      </c>
    </row>
    <row r="931" spans="1:12" x14ac:dyDescent="0.3">
      <c r="A931" s="8" t="s">
        <v>963</v>
      </c>
      <c r="B931" s="9">
        <v>45856</v>
      </c>
      <c r="C931" s="8" t="s">
        <v>16</v>
      </c>
      <c r="D931" s="8" t="s">
        <v>27</v>
      </c>
      <c r="E931" s="8" t="s">
        <v>14</v>
      </c>
      <c r="F931" s="8" t="s">
        <v>22</v>
      </c>
      <c r="G931" s="7">
        <v>8</v>
      </c>
      <c r="H931" s="7">
        <v>3114</v>
      </c>
      <c r="I931" s="7">
        <v>7046</v>
      </c>
      <c r="J931" s="7">
        <f t="shared" si="42"/>
        <v>24912</v>
      </c>
      <c r="K931" s="7">
        <f t="shared" si="43"/>
        <v>56368</v>
      </c>
      <c r="L931" s="8">
        <f t="shared" si="44"/>
        <v>31456</v>
      </c>
    </row>
    <row r="932" spans="1:12" x14ac:dyDescent="0.3">
      <c r="A932" s="8" t="s">
        <v>964</v>
      </c>
      <c r="B932" s="9">
        <v>45857</v>
      </c>
      <c r="C932" s="8" t="s">
        <v>26</v>
      </c>
      <c r="D932" s="8" t="s">
        <v>17</v>
      </c>
      <c r="E932" s="8" t="s">
        <v>14</v>
      </c>
      <c r="F932" s="8" t="s">
        <v>20</v>
      </c>
      <c r="G932" s="7">
        <v>5</v>
      </c>
      <c r="H932" s="7">
        <v>24468</v>
      </c>
      <c r="I932" s="7">
        <v>24901</v>
      </c>
      <c r="J932" s="7">
        <f t="shared" si="42"/>
        <v>122340</v>
      </c>
      <c r="K932" s="7">
        <f t="shared" si="43"/>
        <v>124505</v>
      </c>
      <c r="L932" s="8">
        <f t="shared" si="44"/>
        <v>2165</v>
      </c>
    </row>
    <row r="933" spans="1:12" x14ac:dyDescent="0.3">
      <c r="A933" s="8" t="s">
        <v>965</v>
      </c>
      <c r="B933" s="9">
        <v>45858</v>
      </c>
      <c r="C933" s="8" t="s">
        <v>16</v>
      </c>
      <c r="D933" s="8" t="s">
        <v>27</v>
      </c>
      <c r="E933" s="8" t="s">
        <v>18</v>
      </c>
      <c r="F933" s="8" t="s">
        <v>19</v>
      </c>
      <c r="G933" s="7">
        <v>6</v>
      </c>
      <c r="H933" s="7">
        <v>39336</v>
      </c>
      <c r="I933" s="7">
        <v>41136</v>
      </c>
      <c r="J933" s="7">
        <f t="shared" si="42"/>
        <v>236016</v>
      </c>
      <c r="K933" s="7">
        <f t="shared" si="43"/>
        <v>246816</v>
      </c>
      <c r="L933" s="8">
        <f t="shared" si="44"/>
        <v>10800</v>
      </c>
    </row>
    <row r="934" spans="1:12" x14ac:dyDescent="0.3">
      <c r="A934" s="8" t="s">
        <v>966</v>
      </c>
      <c r="B934" s="9">
        <v>45859</v>
      </c>
      <c r="C934" s="8" t="s">
        <v>23</v>
      </c>
      <c r="D934" s="8" t="s">
        <v>13</v>
      </c>
      <c r="E934" s="8" t="s">
        <v>14</v>
      </c>
      <c r="F934" s="8" t="s">
        <v>15</v>
      </c>
      <c r="G934" s="7">
        <v>2</v>
      </c>
      <c r="H934" s="7">
        <v>21418</v>
      </c>
      <c r="I934" s="7">
        <v>29524</v>
      </c>
      <c r="J934" s="7">
        <f t="shared" si="42"/>
        <v>42836</v>
      </c>
      <c r="K934" s="7">
        <f t="shared" si="43"/>
        <v>59048</v>
      </c>
      <c r="L934" s="8">
        <f t="shared" si="44"/>
        <v>16212</v>
      </c>
    </row>
    <row r="935" spans="1:12" x14ac:dyDescent="0.3">
      <c r="A935" s="8" t="s">
        <v>967</v>
      </c>
      <c r="B935" s="9">
        <v>45860</v>
      </c>
      <c r="C935" s="8" t="s">
        <v>12</v>
      </c>
      <c r="D935" s="8" t="s">
        <v>29</v>
      </c>
      <c r="E935" s="8" t="s">
        <v>18</v>
      </c>
      <c r="F935" s="8" t="s">
        <v>28</v>
      </c>
      <c r="G935" s="7">
        <v>3</v>
      </c>
      <c r="H935" s="7">
        <v>15055</v>
      </c>
      <c r="I935" s="7">
        <v>21282</v>
      </c>
      <c r="J935" s="7">
        <f t="shared" si="42"/>
        <v>45165</v>
      </c>
      <c r="K935" s="7">
        <f t="shared" si="43"/>
        <v>63846</v>
      </c>
      <c r="L935" s="8">
        <f t="shared" si="44"/>
        <v>18681</v>
      </c>
    </row>
    <row r="936" spans="1:12" x14ac:dyDescent="0.3">
      <c r="A936" s="8" t="s">
        <v>968</v>
      </c>
      <c r="B936" s="9">
        <v>45861</v>
      </c>
      <c r="C936" s="8" t="s">
        <v>16</v>
      </c>
      <c r="D936" s="8" t="s">
        <v>29</v>
      </c>
      <c r="E936" s="8" t="s">
        <v>18</v>
      </c>
      <c r="F936" s="8" t="s">
        <v>25</v>
      </c>
      <c r="G936" s="7">
        <v>4</v>
      </c>
      <c r="H936" s="7">
        <v>31222</v>
      </c>
      <c r="I936" s="7">
        <v>35326</v>
      </c>
      <c r="J936" s="7">
        <f t="shared" si="42"/>
        <v>124888</v>
      </c>
      <c r="K936" s="7">
        <f t="shared" si="43"/>
        <v>141304</v>
      </c>
      <c r="L936" s="8">
        <f t="shared" si="44"/>
        <v>16416</v>
      </c>
    </row>
    <row r="937" spans="1:12" x14ac:dyDescent="0.3">
      <c r="A937" s="8" t="s">
        <v>969</v>
      </c>
      <c r="B937" s="9">
        <v>45862</v>
      </c>
      <c r="C937" s="8" t="s">
        <v>26</v>
      </c>
      <c r="D937" s="8" t="s">
        <v>21</v>
      </c>
      <c r="E937" s="8" t="s">
        <v>14</v>
      </c>
      <c r="F937" s="8" t="s">
        <v>15</v>
      </c>
      <c r="G937" s="7">
        <v>9</v>
      </c>
      <c r="H937" s="7">
        <v>36428</v>
      </c>
      <c r="I937" s="7">
        <v>44213</v>
      </c>
      <c r="J937" s="7">
        <f t="shared" si="42"/>
        <v>327852</v>
      </c>
      <c r="K937" s="7">
        <f t="shared" si="43"/>
        <v>397917</v>
      </c>
      <c r="L937" s="8">
        <f t="shared" si="44"/>
        <v>70065</v>
      </c>
    </row>
    <row r="938" spans="1:12" x14ac:dyDescent="0.3">
      <c r="A938" s="8" t="s">
        <v>970</v>
      </c>
      <c r="B938" s="9">
        <v>45863</v>
      </c>
      <c r="C938" s="8" t="s">
        <v>23</v>
      </c>
      <c r="D938" s="8" t="s">
        <v>21</v>
      </c>
      <c r="E938" s="8" t="s">
        <v>18</v>
      </c>
      <c r="F938" s="8" t="s">
        <v>28</v>
      </c>
      <c r="G938" s="7">
        <v>7</v>
      </c>
      <c r="H938" s="7">
        <v>28791</v>
      </c>
      <c r="I938" s="7">
        <v>36340</v>
      </c>
      <c r="J938" s="7">
        <f t="shared" si="42"/>
        <v>201537</v>
      </c>
      <c r="K938" s="7">
        <f t="shared" si="43"/>
        <v>254380</v>
      </c>
      <c r="L938" s="8">
        <f t="shared" si="44"/>
        <v>52843</v>
      </c>
    </row>
    <row r="939" spans="1:12" x14ac:dyDescent="0.3">
      <c r="A939" s="8" t="s">
        <v>971</v>
      </c>
      <c r="B939" s="9">
        <v>45864</v>
      </c>
      <c r="C939" s="8" t="s">
        <v>23</v>
      </c>
      <c r="D939" s="8" t="s">
        <v>17</v>
      </c>
      <c r="E939" s="8" t="s">
        <v>18</v>
      </c>
      <c r="F939" s="8" t="s">
        <v>19</v>
      </c>
      <c r="G939" s="7">
        <v>1</v>
      </c>
      <c r="H939" s="7">
        <v>23560</v>
      </c>
      <c r="I939" s="7">
        <v>24203</v>
      </c>
      <c r="J939" s="7">
        <f t="shared" si="42"/>
        <v>23560</v>
      </c>
      <c r="K939" s="7">
        <f t="shared" si="43"/>
        <v>24203</v>
      </c>
      <c r="L939" s="8">
        <f t="shared" si="44"/>
        <v>643</v>
      </c>
    </row>
    <row r="940" spans="1:12" x14ac:dyDescent="0.3">
      <c r="A940" s="8" t="s">
        <v>972</v>
      </c>
      <c r="B940" s="9">
        <v>45865</v>
      </c>
      <c r="C940" s="8" t="s">
        <v>16</v>
      </c>
      <c r="D940" s="8" t="s">
        <v>24</v>
      </c>
      <c r="E940" s="8" t="s">
        <v>18</v>
      </c>
      <c r="F940" s="8" t="s">
        <v>25</v>
      </c>
      <c r="G940" s="7">
        <v>1</v>
      </c>
      <c r="H940" s="7">
        <v>25737</v>
      </c>
      <c r="I940" s="7">
        <v>31346</v>
      </c>
      <c r="J940" s="7">
        <f t="shared" si="42"/>
        <v>25737</v>
      </c>
      <c r="K940" s="7">
        <f t="shared" si="43"/>
        <v>31346</v>
      </c>
      <c r="L940" s="8">
        <f t="shared" si="44"/>
        <v>5609</v>
      </c>
    </row>
    <row r="941" spans="1:12" x14ac:dyDescent="0.3">
      <c r="A941" s="8" t="s">
        <v>973</v>
      </c>
      <c r="B941" s="9">
        <v>45866</v>
      </c>
      <c r="C941" s="8" t="s">
        <v>23</v>
      </c>
      <c r="D941" s="8" t="s">
        <v>29</v>
      </c>
      <c r="E941" s="8" t="s">
        <v>14</v>
      </c>
      <c r="F941" s="8" t="s">
        <v>22</v>
      </c>
      <c r="G941" s="7">
        <v>1</v>
      </c>
      <c r="H941" s="7">
        <v>13415</v>
      </c>
      <c r="I941" s="7">
        <v>19241</v>
      </c>
      <c r="J941" s="7">
        <f t="shared" si="42"/>
        <v>13415</v>
      </c>
      <c r="K941" s="7">
        <f t="shared" si="43"/>
        <v>19241</v>
      </c>
      <c r="L941" s="8">
        <f t="shared" si="44"/>
        <v>5826</v>
      </c>
    </row>
    <row r="942" spans="1:12" x14ac:dyDescent="0.3">
      <c r="A942" s="8" t="s">
        <v>974</v>
      </c>
      <c r="B942" s="9">
        <v>45867</v>
      </c>
      <c r="C942" s="8" t="s">
        <v>12</v>
      </c>
      <c r="D942" s="8" t="s">
        <v>29</v>
      </c>
      <c r="E942" s="8" t="s">
        <v>18</v>
      </c>
      <c r="F942" s="8" t="s">
        <v>28</v>
      </c>
      <c r="G942" s="7">
        <v>2</v>
      </c>
      <c r="H942" s="7">
        <v>17704</v>
      </c>
      <c r="I942" s="7">
        <v>25263</v>
      </c>
      <c r="J942" s="7">
        <f t="shared" si="42"/>
        <v>35408</v>
      </c>
      <c r="K942" s="7">
        <f t="shared" si="43"/>
        <v>50526</v>
      </c>
      <c r="L942" s="8">
        <f t="shared" si="44"/>
        <v>15118</v>
      </c>
    </row>
    <row r="943" spans="1:12" x14ac:dyDescent="0.3">
      <c r="A943" s="8" t="s">
        <v>975</v>
      </c>
      <c r="B943" s="9">
        <v>45868</v>
      </c>
      <c r="C943" s="8" t="s">
        <v>16</v>
      </c>
      <c r="D943" s="8" t="s">
        <v>17</v>
      </c>
      <c r="E943" s="8" t="s">
        <v>14</v>
      </c>
      <c r="F943" s="8" t="s">
        <v>15</v>
      </c>
      <c r="G943" s="7">
        <v>1</v>
      </c>
      <c r="H943" s="7">
        <v>17561</v>
      </c>
      <c r="I943" s="7">
        <v>24203</v>
      </c>
      <c r="J943" s="7">
        <f t="shared" si="42"/>
        <v>17561</v>
      </c>
      <c r="K943" s="7">
        <f t="shared" si="43"/>
        <v>24203</v>
      </c>
      <c r="L943" s="8">
        <f t="shared" si="44"/>
        <v>6642</v>
      </c>
    </row>
    <row r="944" spans="1:12" x14ac:dyDescent="0.3">
      <c r="A944" s="8" t="s">
        <v>976</v>
      </c>
      <c r="B944" s="9">
        <v>45869</v>
      </c>
      <c r="C944" s="8" t="s">
        <v>26</v>
      </c>
      <c r="D944" s="8" t="s">
        <v>17</v>
      </c>
      <c r="E944" s="8" t="s">
        <v>14</v>
      </c>
      <c r="F944" s="8" t="s">
        <v>20</v>
      </c>
      <c r="G944" s="7">
        <v>10</v>
      </c>
      <c r="H944" s="7">
        <v>26390</v>
      </c>
      <c r="I944" s="7">
        <v>35766</v>
      </c>
      <c r="J944" s="7">
        <f t="shared" si="42"/>
        <v>263900</v>
      </c>
      <c r="K944" s="7">
        <f t="shared" si="43"/>
        <v>357660</v>
      </c>
      <c r="L944" s="8">
        <f t="shared" si="44"/>
        <v>93760</v>
      </c>
    </row>
    <row r="945" spans="1:12" x14ac:dyDescent="0.3">
      <c r="A945" s="8" t="s">
        <v>977</v>
      </c>
      <c r="B945" s="9">
        <v>45870</v>
      </c>
      <c r="C945" s="8" t="s">
        <v>12</v>
      </c>
      <c r="D945" s="8" t="s">
        <v>13</v>
      </c>
      <c r="E945" s="8" t="s">
        <v>14</v>
      </c>
      <c r="F945" s="8" t="s">
        <v>22</v>
      </c>
      <c r="G945" s="7">
        <v>1</v>
      </c>
      <c r="H945" s="7">
        <v>14303</v>
      </c>
      <c r="I945" s="7">
        <v>21925</v>
      </c>
      <c r="J945" s="7">
        <f t="shared" si="42"/>
        <v>14303</v>
      </c>
      <c r="K945" s="7">
        <f t="shared" si="43"/>
        <v>21925</v>
      </c>
      <c r="L945" s="8">
        <f t="shared" si="44"/>
        <v>7622</v>
      </c>
    </row>
    <row r="946" spans="1:12" x14ac:dyDescent="0.3">
      <c r="A946" s="8" t="s">
        <v>978</v>
      </c>
      <c r="B946" s="9">
        <v>45871</v>
      </c>
      <c r="C946" s="8" t="s">
        <v>12</v>
      </c>
      <c r="D946" s="8" t="s">
        <v>17</v>
      </c>
      <c r="E946" s="8" t="s">
        <v>14</v>
      </c>
      <c r="F946" s="8" t="s">
        <v>20</v>
      </c>
      <c r="G946" s="7">
        <v>1</v>
      </c>
      <c r="H946" s="7">
        <v>20070</v>
      </c>
      <c r="I946" s="7">
        <v>21257</v>
      </c>
      <c r="J946" s="7">
        <f t="shared" si="42"/>
        <v>20070</v>
      </c>
      <c r="K946" s="7">
        <f t="shared" si="43"/>
        <v>21257</v>
      </c>
      <c r="L946" s="8">
        <f t="shared" si="44"/>
        <v>1187</v>
      </c>
    </row>
    <row r="947" spans="1:12" x14ac:dyDescent="0.3">
      <c r="A947" s="8" t="s">
        <v>979</v>
      </c>
      <c r="B947" s="9">
        <v>45872</v>
      </c>
      <c r="C947" s="8" t="s">
        <v>26</v>
      </c>
      <c r="D947" s="8" t="s">
        <v>27</v>
      </c>
      <c r="E947" s="8" t="s">
        <v>18</v>
      </c>
      <c r="F947" s="8" t="s">
        <v>19</v>
      </c>
      <c r="G947" s="7">
        <v>3</v>
      </c>
      <c r="H947" s="7">
        <v>14529</v>
      </c>
      <c r="I947" s="7">
        <v>16875</v>
      </c>
      <c r="J947" s="7">
        <f t="shared" si="42"/>
        <v>43587</v>
      </c>
      <c r="K947" s="7">
        <f t="shared" si="43"/>
        <v>50625</v>
      </c>
      <c r="L947" s="8">
        <f t="shared" si="44"/>
        <v>7038</v>
      </c>
    </row>
    <row r="948" spans="1:12" x14ac:dyDescent="0.3">
      <c r="A948" s="8" t="s">
        <v>980</v>
      </c>
      <c r="B948" s="9">
        <v>45873</v>
      </c>
      <c r="C948" s="8" t="s">
        <v>12</v>
      </c>
      <c r="D948" s="8" t="s">
        <v>29</v>
      </c>
      <c r="E948" s="8" t="s">
        <v>14</v>
      </c>
      <c r="F948" s="8" t="s">
        <v>20</v>
      </c>
      <c r="G948" s="7">
        <v>5</v>
      </c>
      <c r="H948" s="7">
        <v>36282</v>
      </c>
      <c r="I948" s="7">
        <v>41513</v>
      </c>
      <c r="J948" s="7">
        <f t="shared" si="42"/>
        <v>181410</v>
      </c>
      <c r="K948" s="7">
        <f t="shared" si="43"/>
        <v>207565</v>
      </c>
      <c r="L948" s="8">
        <f t="shared" si="44"/>
        <v>26155</v>
      </c>
    </row>
    <row r="949" spans="1:12" x14ac:dyDescent="0.3">
      <c r="A949" s="8" t="s">
        <v>981</v>
      </c>
      <c r="B949" s="9">
        <v>45874</v>
      </c>
      <c r="C949" s="8" t="s">
        <v>23</v>
      </c>
      <c r="D949" s="8" t="s">
        <v>24</v>
      </c>
      <c r="E949" s="8" t="s">
        <v>14</v>
      </c>
      <c r="F949" s="8" t="s">
        <v>15</v>
      </c>
      <c r="G949" s="7">
        <v>8</v>
      </c>
      <c r="H949" s="7">
        <v>11839</v>
      </c>
      <c r="I949" s="7">
        <v>13378</v>
      </c>
      <c r="J949" s="7">
        <f t="shared" si="42"/>
        <v>94712</v>
      </c>
      <c r="K949" s="7">
        <f t="shared" si="43"/>
        <v>107024</v>
      </c>
      <c r="L949" s="8">
        <f t="shared" si="44"/>
        <v>12312</v>
      </c>
    </row>
    <row r="950" spans="1:12" x14ac:dyDescent="0.3">
      <c r="A950" s="8" t="s">
        <v>982</v>
      </c>
      <c r="B950" s="9">
        <v>45875</v>
      </c>
      <c r="C950" s="8" t="s">
        <v>12</v>
      </c>
      <c r="D950" s="8" t="s">
        <v>17</v>
      </c>
      <c r="E950" s="8" t="s">
        <v>14</v>
      </c>
      <c r="F950" s="8" t="s">
        <v>20</v>
      </c>
      <c r="G950" s="7">
        <v>4</v>
      </c>
      <c r="H950" s="7">
        <v>19257</v>
      </c>
      <c r="I950" s="7">
        <v>20270</v>
      </c>
      <c r="J950" s="7">
        <f t="shared" si="42"/>
        <v>77028</v>
      </c>
      <c r="K950" s="7">
        <f t="shared" si="43"/>
        <v>81080</v>
      </c>
      <c r="L950" s="8">
        <f t="shared" si="44"/>
        <v>4052</v>
      </c>
    </row>
    <row r="951" spans="1:12" x14ac:dyDescent="0.3">
      <c r="A951" s="8" t="s">
        <v>983</v>
      </c>
      <c r="B951" s="9">
        <v>45876</v>
      </c>
      <c r="C951" s="8" t="s">
        <v>23</v>
      </c>
      <c r="D951" s="8" t="s">
        <v>17</v>
      </c>
      <c r="E951" s="8" t="s">
        <v>18</v>
      </c>
      <c r="F951" s="8" t="s">
        <v>28</v>
      </c>
      <c r="G951" s="7">
        <v>1</v>
      </c>
      <c r="H951" s="7">
        <v>11655</v>
      </c>
      <c r="I951" s="7">
        <v>17277</v>
      </c>
      <c r="J951" s="7">
        <f t="shared" si="42"/>
        <v>11655</v>
      </c>
      <c r="K951" s="7">
        <f t="shared" si="43"/>
        <v>17277</v>
      </c>
      <c r="L951" s="8">
        <f t="shared" si="44"/>
        <v>5622</v>
      </c>
    </row>
    <row r="952" spans="1:12" x14ac:dyDescent="0.3">
      <c r="A952" s="8" t="s">
        <v>984</v>
      </c>
      <c r="B952" s="9">
        <v>45877</v>
      </c>
      <c r="C952" s="8" t="s">
        <v>26</v>
      </c>
      <c r="D952" s="8" t="s">
        <v>24</v>
      </c>
      <c r="E952" s="8" t="s">
        <v>14</v>
      </c>
      <c r="F952" s="8" t="s">
        <v>20</v>
      </c>
      <c r="G952" s="7">
        <v>6</v>
      </c>
      <c r="H952" s="7">
        <v>37692</v>
      </c>
      <c r="I952" s="7">
        <v>44462</v>
      </c>
      <c r="J952" s="7">
        <f t="shared" si="42"/>
        <v>226152</v>
      </c>
      <c r="K952" s="7">
        <f t="shared" si="43"/>
        <v>266772</v>
      </c>
      <c r="L952" s="8">
        <f t="shared" si="44"/>
        <v>40620</v>
      </c>
    </row>
    <row r="953" spans="1:12" x14ac:dyDescent="0.3">
      <c r="A953" s="8" t="s">
        <v>985</v>
      </c>
      <c r="B953" s="9">
        <v>45878</v>
      </c>
      <c r="C953" s="8" t="s">
        <v>26</v>
      </c>
      <c r="D953" s="8" t="s">
        <v>27</v>
      </c>
      <c r="E953" s="8" t="s">
        <v>18</v>
      </c>
      <c r="F953" s="8" t="s">
        <v>25</v>
      </c>
      <c r="G953" s="7">
        <v>3</v>
      </c>
      <c r="H953" s="7">
        <v>29548</v>
      </c>
      <c r="I953" s="7">
        <v>31567</v>
      </c>
      <c r="J953" s="7">
        <f t="shared" si="42"/>
        <v>88644</v>
      </c>
      <c r="K953" s="7">
        <f t="shared" si="43"/>
        <v>94701</v>
      </c>
      <c r="L953" s="8">
        <f t="shared" si="44"/>
        <v>6057</v>
      </c>
    </row>
    <row r="954" spans="1:12" x14ac:dyDescent="0.3">
      <c r="A954" s="8" t="s">
        <v>986</v>
      </c>
      <c r="B954" s="9">
        <v>45879</v>
      </c>
      <c r="C954" s="8" t="s">
        <v>12</v>
      </c>
      <c r="D954" s="8" t="s">
        <v>27</v>
      </c>
      <c r="E954" s="8" t="s">
        <v>14</v>
      </c>
      <c r="F954" s="8" t="s">
        <v>15</v>
      </c>
      <c r="G954" s="7">
        <v>3</v>
      </c>
      <c r="H954" s="7">
        <v>25810</v>
      </c>
      <c r="I954" s="7">
        <v>35054</v>
      </c>
      <c r="J954" s="7">
        <f t="shared" si="42"/>
        <v>77430</v>
      </c>
      <c r="K954" s="7">
        <f t="shared" si="43"/>
        <v>105162</v>
      </c>
      <c r="L954" s="8">
        <f t="shared" si="44"/>
        <v>27732</v>
      </c>
    </row>
    <row r="955" spans="1:12" x14ac:dyDescent="0.3">
      <c r="A955" s="8" t="s">
        <v>987</v>
      </c>
      <c r="B955" s="9">
        <v>45880</v>
      </c>
      <c r="C955" s="8" t="s">
        <v>12</v>
      </c>
      <c r="D955" s="8" t="s">
        <v>27</v>
      </c>
      <c r="E955" s="8" t="s">
        <v>14</v>
      </c>
      <c r="F955" s="8" t="s">
        <v>22</v>
      </c>
      <c r="G955" s="7">
        <v>4</v>
      </c>
      <c r="H955" s="7">
        <v>14123</v>
      </c>
      <c r="I955" s="7">
        <v>19999</v>
      </c>
      <c r="J955" s="7">
        <f t="shared" si="42"/>
        <v>56492</v>
      </c>
      <c r="K955" s="7">
        <f t="shared" si="43"/>
        <v>79996</v>
      </c>
      <c r="L955" s="8">
        <f t="shared" si="44"/>
        <v>23504</v>
      </c>
    </row>
    <row r="956" spans="1:12" x14ac:dyDescent="0.3">
      <c r="A956" s="8" t="s">
        <v>988</v>
      </c>
      <c r="B956" s="9">
        <v>45881</v>
      </c>
      <c r="C956" s="8" t="s">
        <v>16</v>
      </c>
      <c r="D956" s="8" t="s">
        <v>29</v>
      </c>
      <c r="E956" s="8" t="s">
        <v>18</v>
      </c>
      <c r="F956" s="8" t="s">
        <v>25</v>
      </c>
      <c r="G956" s="7">
        <v>2</v>
      </c>
      <c r="H956" s="7">
        <v>22037</v>
      </c>
      <c r="I956" s="7">
        <v>26778</v>
      </c>
      <c r="J956" s="7">
        <f t="shared" si="42"/>
        <v>44074</v>
      </c>
      <c r="K956" s="7">
        <f t="shared" si="43"/>
        <v>53556</v>
      </c>
      <c r="L956" s="8">
        <f t="shared" si="44"/>
        <v>9482</v>
      </c>
    </row>
    <row r="957" spans="1:12" x14ac:dyDescent="0.3">
      <c r="A957" s="8" t="s">
        <v>989</v>
      </c>
      <c r="B957" s="9">
        <v>45882</v>
      </c>
      <c r="C957" s="8" t="s">
        <v>26</v>
      </c>
      <c r="D957" s="8" t="s">
        <v>27</v>
      </c>
      <c r="E957" s="8" t="s">
        <v>14</v>
      </c>
      <c r="F957" s="8" t="s">
        <v>22</v>
      </c>
      <c r="G957" s="7">
        <v>4</v>
      </c>
      <c r="H957" s="7">
        <v>913</v>
      </c>
      <c r="I957" s="7">
        <v>5545</v>
      </c>
      <c r="J957" s="7">
        <f t="shared" si="42"/>
        <v>3652</v>
      </c>
      <c r="K957" s="7">
        <f t="shared" si="43"/>
        <v>22180</v>
      </c>
      <c r="L957" s="8">
        <f t="shared" si="44"/>
        <v>18528</v>
      </c>
    </row>
    <row r="958" spans="1:12" x14ac:dyDescent="0.3">
      <c r="A958" s="8" t="s">
        <v>990</v>
      </c>
      <c r="B958" s="9">
        <v>45883</v>
      </c>
      <c r="C958" s="8" t="s">
        <v>12</v>
      </c>
      <c r="D958" s="8" t="s">
        <v>21</v>
      </c>
      <c r="E958" s="8" t="s">
        <v>14</v>
      </c>
      <c r="F958" s="8" t="s">
        <v>15</v>
      </c>
      <c r="G958" s="7">
        <v>4</v>
      </c>
      <c r="H958" s="7">
        <v>38180</v>
      </c>
      <c r="I958" s="7">
        <v>43378</v>
      </c>
      <c r="J958" s="7">
        <f t="shared" si="42"/>
        <v>152720</v>
      </c>
      <c r="K958" s="7">
        <f t="shared" si="43"/>
        <v>173512</v>
      </c>
      <c r="L958" s="8">
        <f t="shared" si="44"/>
        <v>20792</v>
      </c>
    </row>
    <row r="959" spans="1:12" x14ac:dyDescent="0.3">
      <c r="A959" s="8" t="s">
        <v>991</v>
      </c>
      <c r="B959" s="9">
        <v>45884</v>
      </c>
      <c r="C959" s="8" t="s">
        <v>23</v>
      </c>
      <c r="D959" s="8" t="s">
        <v>29</v>
      </c>
      <c r="E959" s="8" t="s">
        <v>14</v>
      </c>
      <c r="F959" s="8" t="s">
        <v>20</v>
      </c>
      <c r="G959" s="7">
        <v>3</v>
      </c>
      <c r="H959" s="7">
        <v>18174</v>
      </c>
      <c r="I959" s="7">
        <v>21380</v>
      </c>
      <c r="J959" s="7">
        <f t="shared" si="42"/>
        <v>54522</v>
      </c>
      <c r="K959" s="7">
        <f t="shared" si="43"/>
        <v>64140</v>
      </c>
      <c r="L959" s="8">
        <f t="shared" si="44"/>
        <v>9618</v>
      </c>
    </row>
    <row r="960" spans="1:12" x14ac:dyDescent="0.3">
      <c r="A960" s="8" t="s">
        <v>992</v>
      </c>
      <c r="B960" s="9">
        <v>45885</v>
      </c>
      <c r="C960" s="8" t="s">
        <v>26</v>
      </c>
      <c r="D960" s="8" t="s">
        <v>17</v>
      </c>
      <c r="E960" s="8" t="s">
        <v>14</v>
      </c>
      <c r="F960" s="8" t="s">
        <v>22</v>
      </c>
      <c r="G960" s="7">
        <v>8</v>
      </c>
      <c r="H960" s="7">
        <v>29986</v>
      </c>
      <c r="I960" s="7">
        <v>33360</v>
      </c>
      <c r="J960" s="7">
        <f t="shared" si="42"/>
        <v>239888</v>
      </c>
      <c r="K960" s="7">
        <f t="shared" si="43"/>
        <v>266880</v>
      </c>
      <c r="L960" s="8">
        <f t="shared" si="44"/>
        <v>26992</v>
      </c>
    </row>
    <row r="961" spans="1:12" x14ac:dyDescent="0.3">
      <c r="A961" s="8" t="s">
        <v>993</v>
      </c>
      <c r="B961" s="9">
        <v>45886</v>
      </c>
      <c r="C961" s="8" t="s">
        <v>16</v>
      </c>
      <c r="D961" s="8" t="s">
        <v>27</v>
      </c>
      <c r="E961" s="8" t="s">
        <v>18</v>
      </c>
      <c r="F961" s="8" t="s">
        <v>25</v>
      </c>
      <c r="G961" s="7">
        <v>3</v>
      </c>
      <c r="H961" s="7">
        <v>10387</v>
      </c>
      <c r="I961" s="7">
        <v>13664</v>
      </c>
      <c r="J961" s="7">
        <f t="shared" si="42"/>
        <v>31161</v>
      </c>
      <c r="K961" s="7">
        <f t="shared" si="43"/>
        <v>40992</v>
      </c>
      <c r="L961" s="8">
        <f t="shared" si="44"/>
        <v>9831</v>
      </c>
    </row>
    <row r="962" spans="1:12" x14ac:dyDescent="0.3">
      <c r="A962" s="8" t="s">
        <v>994</v>
      </c>
      <c r="B962" s="9">
        <v>45887</v>
      </c>
      <c r="C962" s="8" t="s">
        <v>16</v>
      </c>
      <c r="D962" s="8" t="s">
        <v>27</v>
      </c>
      <c r="E962" s="8" t="s">
        <v>14</v>
      </c>
      <c r="F962" s="8" t="s">
        <v>20</v>
      </c>
      <c r="G962" s="7">
        <v>5</v>
      </c>
      <c r="H962" s="7">
        <v>20203</v>
      </c>
      <c r="I962" s="7">
        <v>27971</v>
      </c>
      <c r="J962" s="7">
        <f t="shared" si="42"/>
        <v>101015</v>
      </c>
      <c r="K962" s="7">
        <f t="shared" si="43"/>
        <v>139855</v>
      </c>
      <c r="L962" s="8">
        <f t="shared" si="44"/>
        <v>38840</v>
      </c>
    </row>
    <row r="963" spans="1:12" x14ac:dyDescent="0.3">
      <c r="A963" s="8" t="s">
        <v>995</v>
      </c>
      <c r="B963" s="9">
        <v>45888</v>
      </c>
      <c r="C963" s="8" t="s">
        <v>16</v>
      </c>
      <c r="D963" s="8" t="s">
        <v>17</v>
      </c>
      <c r="E963" s="8" t="s">
        <v>14</v>
      </c>
      <c r="F963" s="8" t="s">
        <v>20</v>
      </c>
      <c r="G963" s="7">
        <v>8</v>
      </c>
      <c r="H963" s="7">
        <v>7947</v>
      </c>
      <c r="I963" s="7">
        <v>12937</v>
      </c>
      <c r="J963" s="7">
        <f t="shared" ref="J963:J1026" si="45">G963*H963</f>
        <v>63576</v>
      </c>
      <c r="K963" s="7">
        <f t="shared" ref="K963:K1026" si="46">G963*I963</f>
        <v>103496</v>
      </c>
      <c r="L963" s="8">
        <f t="shared" ref="L963:L1026" si="47">(I963-H963)*G963</f>
        <v>39920</v>
      </c>
    </row>
    <row r="964" spans="1:12" x14ac:dyDescent="0.3">
      <c r="A964" s="8" t="s">
        <v>996</v>
      </c>
      <c r="B964" s="9">
        <v>45889</v>
      </c>
      <c r="C964" s="8" t="s">
        <v>23</v>
      </c>
      <c r="D964" s="8" t="s">
        <v>17</v>
      </c>
      <c r="E964" s="8" t="s">
        <v>14</v>
      </c>
      <c r="F964" s="8" t="s">
        <v>22</v>
      </c>
      <c r="G964" s="7">
        <v>9</v>
      </c>
      <c r="H964" s="7">
        <v>2060</v>
      </c>
      <c r="I964" s="7">
        <v>5382</v>
      </c>
      <c r="J964" s="7">
        <f t="shared" si="45"/>
        <v>18540</v>
      </c>
      <c r="K964" s="7">
        <f t="shared" si="46"/>
        <v>48438</v>
      </c>
      <c r="L964" s="8">
        <f t="shared" si="47"/>
        <v>29898</v>
      </c>
    </row>
    <row r="965" spans="1:12" x14ac:dyDescent="0.3">
      <c r="A965" s="8" t="s">
        <v>997</v>
      </c>
      <c r="B965" s="9">
        <v>45890</v>
      </c>
      <c r="C965" s="8" t="s">
        <v>23</v>
      </c>
      <c r="D965" s="8" t="s">
        <v>13</v>
      </c>
      <c r="E965" s="8" t="s">
        <v>14</v>
      </c>
      <c r="F965" s="8" t="s">
        <v>20</v>
      </c>
      <c r="G965" s="7">
        <v>8</v>
      </c>
      <c r="H965" s="7">
        <v>6390</v>
      </c>
      <c r="I965" s="7">
        <v>14530</v>
      </c>
      <c r="J965" s="7">
        <f t="shared" si="45"/>
        <v>51120</v>
      </c>
      <c r="K965" s="7">
        <f t="shared" si="46"/>
        <v>116240</v>
      </c>
      <c r="L965" s="8">
        <f t="shared" si="47"/>
        <v>65120</v>
      </c>
    </row>
    <row r="966" spans="1:12" x14ac:dyDescent="0.3">
      <c r="A966" s="8" t="s">
        <v>998</v>
      </c>
      <c r="B966" s="9">
        <v>45891</v>
      </c>
      <c r="C966" s="8" t="s">
        <v>16</v>
      </c>
      <c r="D966" s="8" t="s">
        <v>21</v>
      </c>
      <c r="E966" s="8" t="s">
        <v>18</v>
      </c>
      <c r="F966" s="8" t="s">
        <v>19</v>
      </c>
      <c r="G966" s="7">
        <v>9</v>
      </c>
      <c r="H966" s="7">
        <v>38898</v>
      </c>
      <c r="I966" s="7">
        <v>41255</v>
      </c>
      <c r="J966" s="7">
        <f t="shared" si="45"/>
        <v>350082</v>
      </c>
      <c r="K966" s="7">
        <f t="shared" si="46"/>
        <v>371295</v>
      </c>
      <c r="L966" s="8">
        <f t="shared" si="47"/>
        <v>21213</v>
      </c>
    </row>
    <row r="967" spans="1:12" x14ac:dyDescent="0.3">
      <c r="A967" s="8" t="s">
        <v>999</v>
      </c>
      <c r="B967" s="9">
        <v>45892</v>
      </c>
      <c r="C967" s="8" t="s">
        <v>16</v>
      </c>
      <c r="D967" s="8" t="s">
        <v>17</v>
      </c>
      <c r="E967" s="8" t="s">
        <v>14</v>
      </c>
      <c r="F967" s="8" t="s">
        <v>20</v>
      </c>
      <c r="G967" s="7">
        <v>8</v>
      </c>
      <c r="H967" s="7">
        <v>25723</v>
      </c>
      <c r="I967" s="7">
        <v>34669</v>
      </c>
      <c r="J967" s="7">
        <f t="shared" si="45"/>
        <v>205784</v>
      </c>
      <c r="K967" s="7">
        <f t="shared" si="46"/>
        <v>277352</v>
      </c>
      <c r="L967" s="8">
        <f t="shared" si="47"/>
        <v>71568</v>
      </c>
    </row>
    <row r="968" spans="1:12" x14ac:dyDescent="0.3">
      <c r="A968" s="8" t="s">
        <v>1000</v>
      </c>
      <c r="B968" s="9">
        <v>45893</v>
      </c>
      <c r="C968" s="8" t="s">
        <v>16</v>
      </c>
      <c r="D968" s="8" t="s">
        <v>21</v>
      </c>
      <c r="E968" s="8" t="s">
        <v>18</v>
      </c>
      <c r="F968" s="8" t="s">
        <v>19</v>
      </c>
      <c r="G968" s="7">
        <v>8</v>
      </c>
      <c r="H968" s="7">
        <v>21117</v>
      </c>
      <c r="I968" s="7">
        <v>23532</v>
      </c>
      <c r="J968" s="7">
        <f t="shared" si="45"/>
        <v>168936</v>
      </c>
      <c r="K968" s="7">
        <f t="shared" si="46"/>
        <v>188256</v>
      </c>
      <c r="L968" s="8">
        <f t="shared" si="47"/>
        <v>19320</v>
      </c>
    </row>
    <row r="969" spans="1:12" x14ac:dyDescent="0.3">
      <c r="A969" s="8" t="s">
        <v>1001</v>
      </c>
      <c r="B969" s="9">
        <v>45894</v>
      </c>
      <c r="C969" s="8" t="s">
        <v>16</v>
      </c>
      <c r="D969" s="8" t="s">
        <v>13</v>
      </c>
      <c r="E969" s="8" t="s">
        <v>14</v>
      </c>
      <c r="F969" s="8" t="s">
        <v>22</v>
      </c>
      <c r="G969" s="7">
        <v>7</v>
      </c>
      <c r="H969" s="7">
        <v>30286</v>
      </c>
      <c r="I969" s="7">
        <v>39023</v>
      </c>
      <c r="J969" s="7">
        <f t="shared" si="45"/>
        <v>212002</v>
      </c>
      <c r="K969" s="7">
        <f t="shared" si="46"/>
        <v>273161</v>
      </c>
      <c r="L969" s="8">
        <f t="shared" si="47"/>
        <v>61159</v>
      </c>
    </row>
    <row r="970" spans="1:12" x14ac:dyDescent="0.3">
      <c r="A970" s="8" t="s">
        <v>1002</v>
      </c>
      <c r="B970" s="9">
        <v>45895</v>
      </c>
      <c r="C970" s="8" t="s">
        <v>12</v>
      </c>
      <c r="D970" s="8" t="s">
        <v>24</v>
      </c>
      <c r="E970" s="8" t="s">
        <v>14</v>
      </c>
      <c r="F970" s="8" t="s">
        <v>22</v>
      </c>
      <c r="G970" s="7">
        <v>7</v>
      </c>
      <c r="H970" s="7">
        <v>4617</v>
      </c>
      <c r="I970" s="7">
        <v>5987</v>
      </c>
      <c r="J970" s="7">
        <f t="shared" si="45"/>
        <v>32319</v>
      </c>
      <c r="K970" s="7">
        <f t="shared" si="46"/>
        <v>41909</v>
      </c>
      <c r="L970" s="8">
        <f t="shared" si="47"/>
        <v>9590</v>
      </c>
    </row>
    <row r="971" spans="1:12" x14ac:dyDescent="0.3">
      <c r="A971" s="8" t="s">
        <v>1003</v>
      </c>
      <c r="B971" s="9">
        <v>45896</v>
      </c>
      <c r="C971" s="8" t="s">
        <v>16</v>
      </c>
      <c r="D971" s="8" t="s">
        <v>27</v>
      </c>
      <c r="E971" s="8" t="s">
        <v>14</v>
      </c>
      <c r="F971" s="8" t="s">
        <v>20</v>
      </c>
      <c r="G971" s="7">
        <v>9</v>
      </c>
      <c r="H971" s="7">
        <v>35378</v>
      </c>
      <c r="I971" s="7">
        <v>44624</v>
      </c>
      <c r="J971" s="7">
        <f t="shared" si="45"/>
        <v>318402</v>
      </c>
      <c r="K971" s="7">
        <f t="shared" si="46"/>
        <v>401616</v>
      </c>
      <c r="L971" s="8">
        <f t="shared" si="47"/>
        <v>83214</v>
      </c>
    </row>
    <row r="972" spans="1:12" x14ac:dyDescent="0.3">
      <c r="A972" s="8" t="s">
        <v>1004</v>
      </c>
      <c r="B972" s="9">
        <v>45897</v>
      </c>
      <c r="C972" s="8" t="s">
        <v>26</v>
      </c>
      <c r="D972" s="8" t="s">
        <v>29</v>
      </c>
      <c r="E972" s="8" t="s">
        <v>18</v>
      </c>
      <c r="F972" s="8" t="s">
        <v>19</v>
      </c>
      <c r="G972" s="7">
        <v>8</v>
      </c>
      <c r="H972" s="7">
        <v>15904</v>
      </c>
      <c r="I972" s="7">
        <v>23786</v>
      </c>
      <c r="J972" s="7">
        <f t="shared" si="45"/>
        <v>127232</v>
      </c>
      <c r="K972" s="7">
        <f t="shared" si="46"/>
        <v>190288</v>
      </c>
      <c r="L972" s="8">
        <f t="shared" si="47"/>
        <v>63056</v>
      </c>
    </row>
    <row r="973" spans="1:12" x14ac:dyDescent="0.3">
      <c r="A973" s="8" t="s">
        <v>1005</v>
      </c>
      <c r="B973" s="9">
        <v>45898</v>
      </c>
      <c r="C973" s="8" t="s">
        <v>23</v>
      </c>
      <c r="D973" s="8" t="s">
        <v>17</v>
      </c>
      <c r="E973" s="8" t="s">
        <v>14</v>
      </c>
      <c r="F973" s="8" t="s">
        <v>22</v>
      </c>
      <c r="G973" s="7">
        <v>6</v>
      </c>
      <c r="H973" s="7">
        <v>36821</v>
      </c>
      <c r="I973" s="7">
        <v>39737</v>
      </c>
      <c r="J973" s="7">
        <f t="shared" si="45"/>
        <v>220926</v>
      </c>
      <c r="K973" s="7">
        <f t="shared" si="46"/>
        <v>238422</v>
      </c>
      <c r="L973" s="8">
        <f t="shared" si="47"/>
        <v>17496</v>
      </c>
    </row>
    <row r="974" spans="1:12" x14ac:dyDescent="0.3">
      <c r="A974" s="8" t="s">
        <v>1006</v>
      </c>
      <c r="B974" s="9">
        <v>45899</v>
      </c>
      <c r="C974" s="8" t="s">
        <v>26</v>
      </c>
      <c r="D974" s="8" t="s">
        <v>24</v>
      </c>
      <c r="E974" s="8" t="s">
        <v>18</v>
      </c>
      <c r="F974" s="8" t="s">
        <v>28</v>
      </c>
      <c r="G974" s="7">
        <v>3</v>
      </c>
      <c r="H974" s="7">
        <v>15097</v>
      </c>
      <c r="I974" s="7">
        <v>20532</v>
      </c>
      <c r="J974" s="7">
        <f t="shared" si="45"/>
        <v>45291</v>
      </c>
      <c r="K974" s="7">
        <f t="shared" si="46"/>
        <v>61596</v>
      </c>
      <c r="L974" s="8">
        <f t="shared" si="47"/>
        <v>16305</v>
      </c>
    </row>
    <row r="975" spans="1:12" x14ac:dyDescent="0.3">
      <c r="A975" s="8" t="s">
        <v>1007</v>
      </c>
      <c r="B975" s="9">
        <v>45900</v>
      </c>
      <c r="C975" s="8" t="s">
        <v>16</v>
      </c>
      <c r="D975" s="8" t="s">
        <v>13</v>
      </c>
      <c r="E975" s="8" t="s">
        <v>18</v>
      </c>
      <c r="F975" s="8" t="s">
        <v>28</v>
      </c>
      <c r="G975" s="7">
        <v>2</v>
      </c>
      <c r="H975" s="7">
        <v>28470</v>
      </c>
      <c r="I975" s="7">
        <v>37949</v>
      </c>
      <c r="J975" s="7">
        <f t="shared" si="45"/>
        <v>56940</v>
      </c>
      <c r="K975" s="7">
        <f t="shared" si="46"/>
        <v>75898</v>
      </c>
      <c r="L975" s="8">
        <f t="shared" si="47"/>
        <v>18958</v>
      </c>
    </row>
    <row r="976" spans="1:12" x14ac:dyDescent="0.3">
      <c r="A976" s="8" t="s">
        <v>1008</v>
      </c>
      <c r="B976" s="9">
        <v>45901</v>
      </c>
      <c r="C976" s="8" t="s">
        <v>16</v>
      </c>
      <c r="D976" s="8" t="s">
        <v>17</v>
      </c>
      <c r="E976" s="8" t="s">
        <v>14</v>
      </c>
      <c r="F976" s="8" t="s">
        <v>15</v>
      </c>
      <c r="G976" s="7">
        <v>8</v>
      </c>
      <c r="H976" s="7">
        <v>21802</v>
      </c>
      <c r="I976" s="7">
        <v>30637</v>
      </c>
      <c r="J976" s="7">
        <f t="shared" si="45"/>
        <v>174416</v>
      </c>
      <c r="K976" s="7">
        <f t="shared" si="46"/>
        <v>245096</v>
      </c>
      <c r="L976" s="8">
        <f t="shared" si="47"/>
        <v>70680</v>
      </c>
    </row>
    <row r="977" spans="1:12" x14ac:dyDescent="0.3">
      <c r="A977" s="8" t="s">
        <v>1009</v>
      </c>
      <c r="B977" s="9">
        <v>45902</v>
      </c>
      <c r="C977" s="8" t="s">
        <v>12</v>
      </c>
      <c r="D977" s="8" t="s">
        <v>21</v>
      </c>
      <c r="E977" s="8" t="s">
        <v>14</v>
      </c>
      <c r="F977" s="8" t="s">
        <v>15</v>
      </c>
      <c r="G977" s="7">
        <v>7</v>
      </c>
      <c r="H977" s="7">
        <v>35142</v>
      </c>
      <c r="I977" s="7">
        <v>36525</v>
      </c>
      <c r="J977" s="7">
        <f t="shared" si="45"/>
        <v>245994</v>
      </c>
      <c r="K977" s="7">
        <f t="shared" si="46"/>
        <v>255675</v>
      </c>
      <c r="L977" s="8">
        <f t="shared" si="47"/>
        <v>9681</v>
      </c>
    </row>
    <row r="978" spans="1:12" x14ac:dyDescent="0.3">
      <c r="A978" s="8" t="s">
        <v>1010</v>
      </c>
      <c r="B978" s="9">
        <v>45903</v>
      </c>
      <c r="C978" s="8" t="s">
        <v>12</v>
      </c>
      <c r="D978" s="8" t="s">
        <v>21</v>
      </c>
      <c r="E978" s="8" t="s">
        <v>14</v>
      </c>
      <c r="F978" s="8" t="s">
        <v>22</v>
      </c>
      <c r="G978" s="7">
        <v>10</v>
      </c>
      <c r="H978" s="7">
        <v>25458</v>
      </c>
      <c r="I978" s="7">
        <v>26741</v>
      </c>
      <c r="J978" s="7">
        <f t="shared" si="45"/>
        <v>254580</v>
      </c>
      <c r="K978" s="7">
        <f t="shared" si="46"/>
        <v>267410</v>
      </c>
      <c r="L978" s="8">
        <f t="shared" si="47"/>
        <v>12830</v>
      </c>
    </row>
    <row r="979" spans="1:12" x14ac:dyDescent="0.3">
      <c r="A979" s="8" t="s">
        <v>1011</v>
      </c>
      <c r="B979" s="9">
        <v>45904</v>
      </c>
      <c r="C979" s="8" t="s">
        <v>16</v>
      </c>
      <c r="D979" s="8" t="s">
        <v>24</v>
      </c>
      <c r="E979" s="8" t="s">
        <v>18</v>
      </c>
      <c r="F979" s="8" t="s">
        <v>28</v>
      </c>
      <c r="G979" s="7">
        <v>1</v>
      </c>
      <c r="H979" s="7">
        <v>34051</v>
      </c>
      <c r="I979" s="7">
        <v>34743</v>
      </c>
      <c r="J979" s="7">
        <f t="shared" si="45"/>
        <v>34051</v>
      </c>
      <c r="K979" s="7">
        <f t="shared" si="46"/>
        <v>34743</v>
      </c>
      <c r="L979" s="8">
        <f t="shared" si="47"/>
        <v>692</v>
      </c>
    </row>
    <row r="980" spans="1:12" x14ac:dyDescent="0.3">
      <c r="A980" s="8" t="s">
        <v>1012</v>
      </c>
      <c r="B980" s="9">
        <v>45905</v>
      </c>
      <c r="C980" s="8" t="s">
        <v>16</v>
      </c>
      <c r="D980" s="8" t="s">
        <v>13</v>
      </c>
      <c r="E980" s="8" t="s">
        <v>18</v>
      </c>
      <c r="F980" s="8" t="s">
        <v>28</v>
      </c>
      <c r="G980" s="7">
        <v>1</v>
      </c>
      <c r="H980" s="7">
        <v>11366</v>
      </c>
      <c r="I980" s="7">
        <v>13407</v>
      </c>
      <c r="J980" s="7">
        <f t="shared" si="45"/>
        <v>11366</v>
      </c>
      <c r="K980" s="7">
        <f t="shared" si="46"/>
        <v>13407</v>
      </c>
      <c r="L980" s="8">
        <f t="shared" si="47"/>
        <v>2041</v>
      </c>
    </row>
    <row r="981" spans="1:12" x14ac:dyDescent="0.3">
      <c r="A981" s="8" t="s">
        <v>1013</v>
      </c>
      <c r="B981" s="9">
        <v>45906</v>
      </c>
      <c r="C981" s="8" t="s">
        <v>12</v>
      </c>
      <c r="D981" s="8" t="s">
        <v>21</v>
      </c>
      <c r="E981" s="8" t="s">
        <v>14</v>
      </c>
      <c r="F981" s="8" t="s">
        <v>20</v>
      </c>
      <c r="G981" s="7">
        <v>7</v>
      </c>
      <c r="H981" s="7">
        <v>13921</v>
      </c>
      <c r="I981" s="7">
        <v>14739</v>
      </c>
      <c r="J981" s="7">
        <f t="shared" si="45"/>
        <v>97447</v>
      </c>
      <c r="K981" s="7">
        <f t="shared" si="46"/>
        <v>103173</v>
      </c>
      <c r="L981" s="8">
        <f t="shared" si="47"/>
        <v>5726</v>
      </c>
    </row>
    <row r="982" spans="1:12" x14ac:dyDescent="0.3">
      <c r="A982" s="8" t="s">
        <v>1014</v>
      </c>
      <c r="B982" s="9">
        <v>45907</v>
      </c>
      <c r="C982" s="8" t="s">
        <v>16</v>
      </c>
      <c r="D982" s="8" t="s">
        <v>27</v>
      </c>
      <c r="E982" s="8" t="s">
        <v>18</v>
      </c>
      <c r="F982" s="8" t="s">
        <v>25</v>
      </c>
      <c r="G982" s="7">
        <v>10</v>
      </c>
      <c r="H982" s="7">
        <v>9265</v>
      </c>
      <c r="I982" s="7">
        <v>16340</v>
      </c>
      <c r="J982" s="7">
        <f t="shared" si="45"/>
        <v>92650</v>
      </c>
      <c r="K982" s="7">
        <f t="shared" si="46"/>
        <v>163400</v>
      </c>
      <c r="L982" s="8">
        <f t="shared" si="47"/>
        <v>70750</v>
      </c>
    </row>
    <row r="983" spans="1:12" x14ac:dyDescent="0.3">
      <c r="A983" s="8" t="s">
        <v>1015</v>
      </c>
      <c r="B983" s="9">
        <v>45908</v>
      </c>
      <c r="C983" s="8" t="s">
        <v>12</v>
      </c>
      <c r="D983" s="8" t="s">
        <v>21</v>
      </c>
      <c r="E983" s="8" t="s">
        <v>14</v>
      </c>
      <c r="F983" s="8" t="s">
        <v>15</v>
      </c>
      <c r="G983" s="7">
        <v>2</v>
      </c>
      <c r="H983" s="7">
        <v>26990</v>
      </c>
      <c r="I983" s="7">
        <v>33262</v>
      </c>
      <c r="J983" s="7">
        <f t="shared" si="45"/>
        <v>53980</v>
      </c>
      <c r="K983" s="7">
        <f t="shared" si="46"/>
        <v>66524</v>
      </c>
      <c r="L983" s="8">
        <f t="shared" si="47"/>
        <v>12544</v>
      </c>
    </row>
    <row r="984" spans="1:12" x14ac:dyDescent="0.3">
      <c r="A984" s="8" t="s">
        <v>1016</v>
      </c>
      <c r="B984" s="9">
        <v>45909</v>
      </c>
      <c r="C984" s="8" t="s">
        <v>16</v>
      </c>
      <c r="D984" s="8" t="s">
        <v>29</v>
      </c>
      <c r="E984" s="8" t="s">
        <v>18</v>
      </c>
      <c r="F984" s="8" t="s">
        <v>19</v>
      </c>
      <c r="G984" s="7">
        <v>2</v>
      </c>
      <c r="H984" s="7">
        <v>22904</v>
      </c>
      <c r="I984" s="7">
        <v>31832</v>
      </c>
      <c r="J984" s="7">
        <f t="shared" si="45"/>
        <v>45808</v>
      </c>
      <c r="K984" s="7">
        <f t="shared" si="46"/>
        <v>63664</v>
      </c>
      <c r="L984" s="8">
        <f t="shared" si="47"/>
        <v>17856</v>
      </c>
    </row>
    <row r="985" spans="1:12" x14ac:dyDescent="0.3">
      <c r="A985" s="8" t="s">
        <v>1017</v>
      </c>
      <c r="B985" s="9">
        <v>45910</v>
      </c>
      <c r="C985" s="8" t="s">
        <v>23</v>
      </c>
      <c r="D985" s="8" t="s">
        <v>27</v>
      </c>
      <c r="E985" s="8" t="s">
        <v>18</v>
      </c>
      <c r="F985" s="8" t="s">
        <v>28</v>
      </c>
      <c r="G985" s="7">
        <v>2</v>
      </c>
      <c r="H985" s="7">
        <v>10200</v>
      </c>
      <c r="I985" s="7">
        <v>19241</v>
      </c>
      <c r="J985" s="7">
        <f t="shared" si="45"/>
        <v>20400</v>
      </c>
      <c r="K985" s="7">
        <f t="shared" si="46"/>
        <v>38482</v>
      </c>
      <c r="L985" s="8">
        <f t="shared" si="47"/>
        <v>18082</v>
      </c>
    </row>
    <row r="986" spans="1:12" x14ac:dyDescent="0.3">
      <c r="A986" s="8" t="s">
        <v>1018</v>
      </c>
      <c r="B986" s="9">
        <v>45911</v>
      </c>
      <c r="C986" s="8" t="s">
        <v>23</v>
      </c>
      <c r="D986" s="8" t="s">
        <v>17</v>
      </c>
      <c r="E986" s="8" t="s">
        <v>18</v>
      </c>
      <c r="F986" s="8" t="s">
        <v>19</v>
      </c>
      <c r="G986" s="7">
        <v>3</v>
      </c>
      <c r="H986" s="7">
        <v>18600</v>
      </c>
      <c r="I986" s="7">
        <v>24967</v>
      </c>
      <c r="J986" s="7">
        <f t="shared" si="45"/>
        <v>55800</v>
      </c>
      <c r="K986" s="7">
        <f t="shared" si="46"/>
        <v>74901</v>
      </c>
      <c r="L986" s="8">
        <f t="shared" si="47"/>
        <v>19101</v>
      </c>
    </row>
    <row r="987" spans="1:12" x14ac:dyDescent="0.3">
      <c r="A987" s="8" t="s">
        <v>1019</v>
      </c>
      <c r="B987" s="9">
        <v>45912</v>
      </c>
      <c r="C987" s="8" t="s">
        <v>23</v>
      </c>
      <c r="D987" s="8" t="s">
        <v>29</v>
      </c>
      <c r="E987" s="8" t="s">
        <v>14</v>
      </c>
      <c r="F987" s="8" t="s">
        <v>15</v>
      </c>
      <c r="G987" s="7">
        <v>4</v>
      </c>
      <c r="H987" s="7">
        <v>39975</v>
      </c>
      <c r="I987" s="7">
        <v>43568</v>
      </c>
      <c r="J987" s="7">
        <f t="shared" si="45"/>
        <v>159900</v>
      </c>
      <c r="K987" s="7">
        <f t="shared" si="46"/>
        <v>174272</v>
      </c>
      <c r="L987" s="8">
        <f t="shared" si="47"/>
        <v>14372</v>
      </c>
    </row>
    <row r="988" spans="1:12" x14ac:dyDescent="0.3">
      <c r="A988" s="8" t="s">
        <v>1020</v>
      </c>
      <c r="B988" s="9">
        <v>45913</v>
      </c>
      <c r="C988" s="8" t="s">
        <v>12</v>
      </c>
      <c r="D988" s="8" t="s">
        <v>17</v>
      </c>
      <c r="E988" s="8" t="s">
        <v>14</v>
      </c>
      <c r="F988" s="8" t="s">
        <v>22</v>
      </c>
      <c r="G988" s="7">
        <v>3</v>
      </c>
      <c r="H988" s="7">
        <v>17392</v>
      </c>
      <c r="I988" s="7">
        <v>22142</v>
      </c>
      <c r="J988" s="7">
        <f t="shared" si="45"/>
        <v>52176</v>
      </c>
      <c r="K988" s="7">
        <f t="shared" si="46"/>
        <v>66426</v>
      </c>
      <c r="L988" s="8">
        <f t="shared" si="47"/>
        <v>14250</v>
      </c>
    </row>
    <row r="989" spans="1:12" x14ac:dyDescent="0.3">
      <c r="A989" s="8" t="s">
        <v>1021</v>
      </c>
      <c r="B989" s="9">
        <v>45914</v>
      </c>
      <c r="C989" s="8" t="s">
        <v>26</v>
      </c>
      <c r="D989" s="8" t="s">
        <v>21</v>
      </c>
      <c r="E989" s="8" t="s">
        <v>14</v>
      </c>
      <c r="F989" s="8" t="s">
        <v>15</v>
      </c>
      <c r="G989" s="7">
        <v>6</v>
      </c>
      <c r="H989" s="7">
        <v>14288</v>
      </c>
      <c r="I989" s="7">
        <v>23843</v>
      </c>
      <c r="J989" s="7">
        <f t="shared" si="45"/>
        <v>85728</v>
      </c>
      <c r="K989" s="7">
        <f t="shared" si="46"/>
        <v>143058</v>
      </c>
      <c r="L989" s="8">
        <f t="shared" si="47"/>
        <v>57330</v>
      </c>
    </row>
    <row r="990" spans="1:12" x14ac:dyDescent="0.3">
      <c r="A990" s="8" t="s">
        <v>1022</v>
      </c>
      <c r="B990" s="9">
        <v>45915</v>
      </c>
      <c r="C990" s="8" t="s">
        <v>12</v>
      </c>
      <c r="D990" s="8" t="s">
        <v>21</v>
      </c>
      <c r="E990" s="8" t="s">
        <v>18</v>
      </c>
      <c r="F990" s="8" t="s">
        <v>28</v>
      </c>
      <c r="G990" s="7">
        <v>8</v>
      </c>
      <c r="H990" s="7">
        <v>7081</v>
      </c>
      <c r="I990" s="7">
        <v>12601</v>
      </c>
      <c r="J990" s="7">
        <f t="shared" si="45"/>
        <v>56648</v>
      </c>
      <c r="K990" s="7">
        <f t="shared" si="46"/>
        <v>100808</v>
      </c>
      <c r="L990" s="8">
        <f t="shared" si="47"/>
        <v>44160</v>
      </c>
    </row>
    <row r="991" spans="1:12" x14ac:dyDescent="0.3">
      <c r="A991" s="8" t="s">
        <v>1023</v>
      </c>
      <c r="B991" s="9">
        <v>45916</v>
      </c>
      <c r="C991" s="8" t="s">
        <v>26</v>
      </c>
      <c r="D991" s="8" t="s">
        <v>13</v>
      </c>
      <c r="E991" s="8" t="s">
        <v>14</v>
      </c>
      <c r="F991" s="8" t="s">
        <v>22</v>
      </c>
      <c r="G991" s="7">
        <v>2</v>
      </c>
      <c r="H991" s="7">
        <v>11952</v>
      </c>
      <c r="I991" s="7">
        <v>20595</v>
      </c>
      <c r="J991" s="7">
        <f t="shared" si="45"/>
        <v>23904</v>
      </c>
      <c r="K991" s="7">
        <f t="shared" si="46"/>
        <v>41190</v>
      </c>
      <c r="L991" s="8">
        <f t="shared" si="47"/>
        <v>17286</v>
      </c>
    </row>
    <row r="992" spans="1:12" x14ac:dyDescent="0.3">
      <c r="A992" s="8" t="s">
        <v>1024</v>
      </c>
      <c r="B992" s="9">
        <v>45917</v>
      </c>
      <c r="C992" s="8" t="s">
        <v>12</v>
      </c>
      <c r="D992" s="8" t="s">
        <v>24</v>
      </c>
      <c r="E992" s="8" t="s">
        <v>14</v>
      </c>
      <c r="F992" s="8" t="s">
        <v>15</v>
      </c>
      <c r="G992" s="7">
        <v>4</v>
      </c>
      <c r="H992" s="7">
        <v>19410</v>
      </c>
      <c r="I992" s="7">
        <v>20626</v>
      </c>
      <c r="J992" s="7">
        <f t="shared" si="45"/>
        <v>77640</v>
      </c>
      <c r="K992" s="7">
        <f t="shared" si="46"/>
        <v>82504</v>
      </c>
      <c r="L992" s="8">
        <f t="shared" si="47"/>
        <v>4864</v>
      </c>
    </row>
    <row r="993" spans="1:12" x14ac:dyDescent="0.3">
      <c r="A993" s="8" t="s">
        <v>1025</v>
      </c>
      <c r="B993" s="9">
        <v>45918</v>
      </c>
      <c r="C993" s="8" t="s">
        <v>26</v>
      </c>
      <c r="D993" s="8" t="s">
        <v>27</v>
      </c>
      <c r="E993" s="8" t="s">
        <v>18</v>
      </c>
      <c r="F993" s="8" t="s">
        <v>19</v>
      </c>
      <c r="G993" s="7">
        <v>3</v>
      </c>
      <c r="H993" s="7">
        <v>29187</v>
      </c>
      <c r="I993" s="7">
        <v>32082</v>
      </c>
      <c r="J993" s="7">
        <f t="shared" si="45"/>
        <v>87561</v>
      </c>
      <c r="K993" s="7">
        <f t="shared" si="46"/>
        <v>96246</v>
      </c>
      <c r="L993" s="8">
        <f t="shared" si="47"/>
        <v>8685</v>
      </c>
    </row>
    <row r="994" spans="1:12" x14ac:dyDescent="0.3">
      <c r="A994" s="8" t="s">
        <v>1026</v>
      </c>
      <c r="B994" s="9">
        <v>45919</v>
      </c>
      <c r="C994" s="8" t="s">
        <v>12</v>
      </c>
      <c r="D994" s="8" t="s">
        <v>21</v>
      </c>
      <c r="E994" s="8" t="s">
        <v>18</v>
      </c>
      <c r="F994" s="8" t="s">
        <v>19</v>
      </c>
      <c r="G994" s="7">
        <v>10</v>
      </c>
      <c r="H994" s="7">
        <v>19042</v>
      </c>
      <c r="I994" s="7">
        <v>21257</v>
      </c>
      <c r="J994" s="7">
        <f t="shared" si="45"/>
        <v>190420</v>
      </c>
      <c r="K994" s="7">
        <f t="shared" si="46"/>
        <v>212570</v>
      </c>
      <c r="L994" s="8">
        <f t="shared" si="47"/>
        <v>22150</v>
      </c>
    </row>
    <row r="995" spans="1:12" x14ac:dyDescent="0.3">
      <c r="A995" s="8" t="s">
        <v>1027</v>
      </c>
      <c r="B995" s="9">
        <v>45920</v>
      </c>
      <c r="C995" s="8" t="s">
        <v>16</v>
      </c>
      <c r="D995" s="8" t="s">
        <v>17</v>
      </c>
      <c r="E995" s="8" t="s">
        <v>14</v>
      </c>
      <c r="F995" s="8" t="s">
        <v>22</v>
      </c>
      <c r="G995" s="7">
        <v>7</v>
      </c>
      <c r="H995" s="7">
        <v>16048</v>
      </c>
      <c r="I995" s="7">
        <v>16326</v>
      </c>
      <c r="J995" s="7">
        <f t="shared" si="45"/>
        <v>112336</v>
      </c>
      <c r="K995" s="7">
        <f t="shared" si="46"/>
        <v>114282</v>
      </c>
      <c r="L995" s="8">
        <f t="shared" si="47"/>
        <v>1946</v>
      </c>
    </row>
    <row r="996" spans="1:12" x14ac:dyDescent="0.3">
      <c r="A996" s="8" t="s">
        <v>1028</v>
      </c>
      <c r="B996" s="9">
        <v>45921</v>
      </c>
      <c r="C996" s="8" t="s">
        <v>26</v>
      </c>
      <c r="D996" s="8" t="s">
        <v>13</v>
      </c>
      <c r="E996" s="8" t="s">
        <v>14</v>
      </c>
      <c r="F996" s="8" t="s">
        <v>20</v>
      </c>
      <c r="G996" s="7">
        <v>6</v>
      </c>
      <c r="H996" s="7">
        <v>33812</v>
      </c>
      <c r="I996" s="7">
        <v>43263</v>
      </c>
      <c r="J996" s="7">
        <f t="shared" si="45"/>
        <v>202872</v>
      </c>
      <c r="K996" s="7">
        <f t="shared" si="46"/>
        <v>259578</v>
      </c>
      <c r="L996" s="8">
        <f t="shared" si="47"/>
        <v>56706</v>
      </c>
    </row>
    <row r="997" spans="1:12" x14ac:dyDescent="0.3">
      <c r="A997" s="8" t="s">
        <v>1029</v>
      </c>
      <c r="B997" s="9">
        <v>45922</v>
      </c>
      <c r="C997" s="8" t="s">
        <v>23</v>
      </c>
      <c r="D997" s="8" t="s">
        <v>27</v>
      </c>
      <c r="E997" s="8" t="s">
        <v>18</v>
      </c>
      <c r="F997" s="8" t="s">
        <v>25</v>
      </c>
      <c r="G997" s="7">
        <v>10</v>
      </c>
      <c r="H997" s="7">
        <v>11329</v>
      </c>
      <c r="I997" s="7">
        <v>11827</v>
      </c>
      <c r="J997" s="7">
        <f t="shared" si="45"/>
        <v>113290</v>
      </c>
      <c r="K997" s="7">
        <f t="shared" si="46"/>
        <v>118270</v>
      </c>
      <c r="L997" s="8">
        <f t="shared" si="47"/>
        <v>4980</v>
      </c>
    </row>
    <row r="998" spans="1:12" x14ac:dyDescent="0.3">
      <c r="A998" s="8" t="s">
        <v>1030</v>
      </c>
      <c r="B998" s="9">
        <v>45923</v>
      </c>
      <c r="C998" s="8" t="s">
        <v>12</v>
      </c>
      <c r="D998" s="8" t="s">
        <v>27</v>
      </c>
      <c r="E998" s="8" t="s">
        <v>14</v>
      </c>
      <c r="F998" s="8" t="s">
        <v>15</v>
      </c>
      <c r="G998" s="7">
        <v>9</v>
      </c>
      <c r="H998" s="7">
        <v>14704</v>
      </c>
      <c r="I998" s="7">
        <v>21844</v>
      </c>
      <c r="J998" s="7">
        <f t="shared" si="45"/>
        <v>132336</v>
      </c>
      <c r="K998" s="7">
        <f t="shared" si="46"/>
        <v>196596</v>
      </c>
      <c r="L998" s="8">
        <f t="shared" si="47"/>
        <v>64260</v>
      </c>
    </row>
    <row r="999" spans="1:12" x14ac:dyDescent="0.3">
      <c r="A999" s="8" t="s">
        <v>1031</v>
      </c>
      <c r="B999" s="9">
        <v>45924</v>
      </c>
      <c r="C999" s="8" t="s">
        <v>12</v>
      </c>
      <c r="D999" s="8" t="s">
        <v>13</v>
      </c>
      <c r="E999" s="8" t="s">
        <v>18</v>
      </c>
      <c r="F999" s="8" t="s">
        <v>28</v>
      </c>
      <c r="G999" s="7">
        <v>3</v>
      </c>
      <c r="H999" s="7">
        <v>18202</v>
      </c>
      <c r="I999" s="7">
        <v>22196</v>
      </c>
      <c r="J999" s="7">
        <f t="shared" si="45"/>
        <v>54606</v>
      </c>
      <c r="K999" s="7">
        <f t="shared" si="46"/>
        <v>66588</v>
      </c>
      <c r="L999" s="8">
        <f t="shared" si="47"/>
        <v>11982</v>
      </c>
    </row>
    <row r="1000" spans="1:12" x14ac:dyDescent="0.3">
      <c r="A1000" s="8" t="s">
        <v>1032</v>
      </c>
      <c r="B1000" s="9">
        <v>45925</v>
      </c>
      <c r="C1000" s="8" t="s">
        <v>26</v>
      </c>
      <c r="D1000" s="8" t="s">
        <v>17</v>
      </c>
      <c r="E1000" s="8" t="s">
        <v>14</v>
      </c>
      <c r="F1000" s="8" t="s">
        <v>20</v>
      </c>
      <c r="G1000" s="7">
        <v>10</v>
      </c>
      <c r="H1000" s="7">
        <v>7238</v>
      </c>
      <c r="I1000" s="7">
        <v>9876</v>
      </c>
      <c r="J1000" s="7">
        <f t="shared" si="45"/>
        <v>72380</v>
      </c>
      <c r="K1000" s="7">
        <f t="shared" si="46"/>
        <v>98760</v>
      </c>
      <c r="L1000" s="8">
        <f t="shared" si="47"/>
        <v>26380</v>
      </c>
    </row>
    <row r="1001" spans="1:12" x14ac:dyDescent="0.3">
      <c r="A1001" s="8" t="s">
        <v>1033</v>
      </c>
      <c r="B1001" s="9">
        <v>45926</v>
      </c>
      <c r="C1001" s="8" t="s">
        <v>12</v>
      </c>
      <c r="D1001" s="8" t="s">
        <v>29</v>
      </c>
      <c r="E1001" s="8" t="s">
        <v>18</v>
      </c>
      <c r="F1001" s="8" t="s">
        <v>25</v>
      </c>
      <c r="G1001" s="7">
        <v>4</v>
      </c>
      <c r="H1001" s="7">
        <v>27876</v>
      </c>
      <c r="I1001" s="7">
        <v>34141</v>
      </c>
      <c r="J1001" s="7">
        <f t="shared" si="45"/>
        <v>111504</v>
      </c>
      <c r="K1001" s="7">
        <f t="shared" si="46"/>
        <v>136564</v>
      </c>
      <c r="L1001" s="8">
        <f t="shared" si="47"/>
        <v>25060</v>
      </c>
    </row>
    <row r="1002" spans="1:12" x14ac:dyDescent="0.3">
      <c r="A1002" s="8" t="s">
        <v>1034</v>
      </c>
      <c r="B1002" s="9">
        <v>45927</v>
      </c>
      <c r="C1002" s="8" t="s">
        <v>16</v>
      </c>
      <c r="D1002" s="8" t="s">
        <v>27</v>
      </c>
      <c r="E1002" s="8" t="s">
        <v>18</v>
      </c>
      <c r="F1002" s="8" t="s">
        <v>28</v>
      </c>
      <c r="G1002" s="7">
        <v>3</v>
      </c>
      <c r="H1002" s="7">
        <v>36655</v>
      </c>
      <c r="I1002" s="7">
        <v>37015</v>
      </c>
      <c r="J1002" s="7">
        <f t="shared" si="45"/>
        <v>109965</v>
      </c>
      <c r="K1002" s="7">
        <f t="shared" si="46"/>
        <v>111045</v>
      </c>
      <c r="L1002" s="8">
        <f t="shared" si="47"/>
        <v>1080</v>
      </c>
    </row>
    <row r="1003" spans="1:12" x14ac:dyDescent="0.3">
      <c r="A1003" s="8" t="s">
        <v>1035</v>
      </c>
      <c r="B1003" s="9">
        <v>45928</v>
      </c>
      <c r="C1003" s="8" t="s">
        <v>12</v>
      </c>
      <c r="D1003" s="8" t="s">
        <v>24</v>
      </c>
      <c r="E1003" s="8" t="s">
        <v>18</v>
      </c>
      <c r="F1003" s="8" t="s">
        <v>25</v>
      </c>
      <c r="G1003" s="7">
        <v>5</v>
      </c>
      <c r="H1003" s="7">
        <v>21165</v>
      </c>
      <c r="I1003" s="7">
        <v>22995</v>
      </c>
      <c r="J1003" s="7">
        <f t="shared" si="45"/>
        <v>105825</v>
      </c>
      <c r="K1003" s="7">
        <f t="shared" si="46"/>
        <v>114975</v>
      </c>
      <c r="L1003" s="8">
        <f t="shared" si="47"/>
        <v>9150</v>
      </c>
    </row>
    <row r="1004" spans="1:12" x14ac:dyDescent="0.3">
      <c r="A1004" s="8" t="s">
        <v>1036</v>
      </c>
      <c r="B1004" s="9">
        <v>45929</v>
      </c>
      <c r="C1004" s="8" t="s">
        <v>16</v>
      </c>
      <c r="D1004" s="8" t="s">
        <v>27</v>
      </c>
      <c r="E1004" s="8" t="s">
        <v>18</v>
      </c>
      <c r="F1004" s="8" t="s">
        <v>19</v>
      </c>
      <c r="G1004" s="7">
        <v>7</v>
      </c>
      <c r="H1004" s="7">
        <v>7948</v>
      </c>
      <c r="I1004" s="7">
        <v>11686</v>
      </c>
      <c r="J1004" s="7">
        <f t="shared" si="45"/>
        <v>55636</v>
      </c>
      <c r="K1004" s="7">
        <f t="shared" si="46"/>
        <v>81802</v>
      </c>
      <c r="L1004" s="8">
        <f t="shared" si="47"/>
        <v>26166</v>
      </c>
    </row>
    <row r="1005" spans="1:12" x14ac:dyDescent="0.3">
      <c r="A1005" s="8" t="s">
        <v>1037</v>
      </c>
      <c r="B1005" s="9">
        <v>45930</v>
      </c>
      <c r="C1005" s="8" t="s">
        <v>12</v>
      </c>
      <c r="D1005" s="8" t="s">
        <v>17</v>
      </c>
      <c r="E1005" s="8" t="s">
        <v>14</v>
      </c>
      <c r="F1005" s="8" t="s">
        <v>22</v>
      </c>
      <c r="G1005" s="7">
        <v>5</v>
      </c>
      <c r="H1005" s="7">
        <v>12571</v>
      </c>
      <c r="I1005" s="7">
        <v>20774</v>
      </c>
      <c r="J1005" s="7">
        <f t="shared" si="45"/>
        <v>62855</v>
      </c>
      <c r="K1005" s="7">
        <f t="shared" si="46"/>
        <v>103870</v>
      </c>
      <c r="L1005" s="8">
        <f t="shared" si="47"/>
        <v>41015</v>
      </c>
    </row>
    <row r="1006" spans="1:12" x14ac:dyDescent="0.3">
      <c r="A1006" s="8" t="s">
        <v>1038</v>
      </c>
      <c r="B1006" s="9">
        <v>45931</v>
      </c>
      <c r="C1006" s="8" t="s">
        <v>23</v>
      </c>
      <c r="D1006" s="8" t="s">
        <v>27</v>
      </c>
      <c r="E1006" s="8" t="s">
        <v>18</v>
      </c>
      <c r="F1006" s="8" t="s">
        <v>28</v>
      </c>
      <c r="G1006" s="7">
        <v>7</v>
      </c>
      <c r="H1006" s="7">
        <v>28576</v>
      </c>
      <c r="I1006" s="7">
        <v>33522</v>
      </c>
      <c r="J1006" s="7">
        <f t="shared" si="45"/>
        <v>200032</v>
      </c>
      <c r="K1006" s="7">
        <f t="shared" si="46"/>
        <v>234654</v>
      </c>
      <c r="L1006" s="8">
        <f t="shared" si="47"/>
        <v>34622</v>
      </c>
    </row>
    <row r="1007" spans="1:12" x14ac:dyDescent="0.3">
      <c r="A1007" s="8" t="s">
        <v>1039</v>
      </c>
      <c r="B1007" s="9">
        <v>45932</v>
      </c>
      <c r="C1007" s="8" t="s">
        <v>26</v>
      </c>
      <c r="D1007" s="8" t="s">
        <v>21</v>
      </c>
      <c r="E1007" s="8" t="s">
        <v>14</v>
      </c>
      <c r="F1007" s="8" t="s">
        <v>15</v>
      </c>
      <c r="G1007" s="7">
        <v>3</v>
      </c>
      <c r="H1007" s="7">
        <v>37438</v>
      </c>
      <c r="I1007" s="7">
        <v>40026</v>
      </c>
      <c r="J1007" s="7">
        <f t="shared" si="45"/>
        <v>112314</v>
      </c>
      <c r="K1007" s="7">
        <f t="shared" si="46"/>
        <v>120078</v>
      </c>
      <c r="L1007" s="8">
        <f t="shared" si="47"/>
        <v>7764</v>
      </c>
    </row>
    <row r="1008" spans="1:12" x14ac:dyDescent="0.3">
      <c r="A1008" s="8" t="s">
        <v>1040</v>
      </c>
      <c r="B1008" s="9">
        <v>45933</v>
      </c>
      <c r="C1008" s="8" t="s">
        <v>12</v>
      </c>
      <c r="D1008" s="8" t="s">
        <v>21</v>
      </c>
      <c r="E1008" s="8" t="s">
        <v>18</v>
      </c>
      <c r="F1008" s="8" t="s">
        <v>28</v>
      </c>
      <c r="G1008" s="7">
        <v>5</v>
      </c>
      <c r="H1008" s="7">
        <v>26503</v>
      </c>
      <c r="I1008" s="7">
        <v>35002</v>
      </c>
      <c r="J1008" s="7">
        <f t="shared" si="45"/>
        <v>132515</v>
      </c>
      <c r="K1008" s="7">
        <f t="shared" si="46"/>
        <v>175010</v>
      </c>
      <c r="L1008" s="8">
        <f t="shared" si="47"/>
        <v>42495</v>
      </c>
    </row>
    <row r="1009" spans="1:12" x14ac:dyDescent="0.3">
      <c r="A1009" s="8" t="s">
        <v>1041</v>
      </c>
      <c r="B1009" s="9">
        <v>45934</v>
      </c>
      <c r="C1009" s="8" t="s">
        <v>26</v>
      </c>
      <c r="D1009" s="8" t="s">
        <v>27</v>
      </c>
      <c r="E1009" s="8" t="s">
        <v>14</v>
      </c>
      <c r="F1009" s="8" t="s">
        <v>20</v>
      </c>
      <c r="G1009" s="7">
        <v>5</v>
      </c>
      <c r="H1009" s="7">
        <v>29345</v>
      </c>
      <c r="I1009" s="7">
        <v>37658</v>
      </c>
      <c r="J1009" s="7">
        <f t="shared" si="45"/>
        <v>146725</v>
      </c>
      <c r="K1009" s="7">
        <f t="shared" si="46"/>
        <v>188290</v>
      </c>
      <c r="L1009" s="8">
        <f t="shared" si="47"/>
        <v>41565</v>
      </c>
    </row>
    <row r="1010" spans="1:12" x14ac:dyDescent="0.3">
      <c r="A1010" s="8" t="s">
        <v>1042</v>
      </c>
      <c r="B1010" s="9">
        <v>45935</v>
      </c>
      <c r="C1010" s="8" t="s">
        <v>16</v>
      </c>
      <c r="D1010" s="8" t="s">
        <v>29</v>
      </c>
      <c r="E1010" s="8" t="s">
        <v>18</v>
      </c>
      <c r="F1010" s="8" t="s">
        <v>19</v>
      </c>
      <c r="G1010" s="7">
        <v>8</v>
      </c>
      <c r="H1010" s="7">
        <v>35019</v>
      </c>
      <c r="I1010" s="7">
        <v>39344</v>
      </c>
      <c r="J1010" s="7">
        <f t="shared" si="45"/>
        <v>280152</v>
      </c>
      <c r="K1010" s="7">
        <f t="shared" si="46"/>
        <v>314752</v>
      </c>
      <c r="L1010" s="8">
        <f t="shared" si="47"/>
        <v>34600</v>
      </c>
    </row>
    <row r="1011" spans="1:12" x14ac:dyDescent="0.3">
      <c r="A1011" s="8" t="s">
        <v>1043</v>
      </c>
      <c r="B1011" s="9">
        <v>45936</v>
      </c>
      <c r="C1011" s="8" t="s">
        <v>16</v>
      </c>
      <c r="D1011" s="8" t="s">
        <v>17</v>
      </c>
      <c r="E1011" s="8" t="s">
        <v>14</v>
      </c>
      <c r="F1011" s="8" t="s">
        <v>15</v>
      </c>
      <c r="G1011" s="7">
        <v>8</v>
      </c>
      <c r="H1011" s="7">
        <v>2405</v>
      </c>
      <c r="I1011" s="7">
        <v>7433</v>
      </c>
      <c r="J1011" s="7">
        <f t="shared" si="45"/>
        <v>19240</v>
      </c>
      <c r="K1011" s="7">
        <f t="shared" si="46"/>
        <v>59464</v>
      </c>
      <c r="L1011" s="8">
        <f t="shared" si="47"/>
        <v>40224</v>
      </c>
    </row>
    <row r="1012" spans="1:12" x14ac:dyDescent="0.3">
      <c r="A1012" s="8" t="s">
        <v>1044</v>
      </c>
      <c r="B1012" s="9">
        <v>45937</v>
      </c>
      <c r="C1012" s="8" t="s">
        <v>26</v>
      </c>
      <c r="D1012" s="8" t="s">
        <v>24</v>
      </c>
      <c r="E1012" s="8" t="s">
        <v>18</v>
      </c>
      <c r="F1012" s="8" t="s">
        <v>19</v>
      </c>
      <c r="G1012" s="7">
        <v>3</v>
      </c>
      <c r="H1012" s="7">
        <v>23931</v>
      </c>
      <c r="I1012" s="7">
        <v>25959</v>
      </c>
      <c r="J1012" s="7">
        <f t="shared" si="45"/>
        <v>71793</v>
      </c>
      <c r="K1012" s="7">
        <f t="shared" si="46"/>
        <v>77877</v>
      </c>
      <c r="L1012" s="8">
        <f t="shared" si="47"/>
        <v>6084</v>
      </c>
    </row>
    <row r="1013" spans="1:12" x14ac:dyDescent="0.3">
      <c r="A1013" s="8" t="s">
        <v>1045</v>
      </c>
      <c r="B1013" s="9">
        <v>45938</v>
      </c>
      <c r="C1013" s="8" t="s">
        <v>23</v>
      </c>
      <c r="D1013" s="8" t="s">
        <v>17</v>
      </c>
      <c r="E1013" s="8" t="s">
        <v>14</v>
      </c>
      <c r="F1013" s="8" t="s">
        <v>15</v>
      </c>
      <c r="G1013" s="7">
        <v>9</v>
      </c>
      <c r="H1013" s="7">
        <v>2427</v>
      </c>
      <c r="I1013" s="7">
        <v>2858</v>
      </c>
      <c r="J1013" s="7">
        <f t="shared" si="45"/>
        <v>21843</v>
      </c>
      <c r="K1013" s="7">
        <f t="shared" si="46"/>
        <v>25722</v>
      </c>
      <c r="L1013" s="8">
        <f t="shared" si="47"/>
        <v>3879</v>
      </c>
    </row>
    <row r="1014" spans="1:12" x14ac:dyDescent="0.3">
      <c r="A1014" s="8" t="s">
        <v>1046</v>
      </c>
      <c r="B1014" s="9">
        <v>45939</v>
      </c>
      <c r="C1014" s="8" t="s">
        <v>16</v>
      </c>
      <c r="D1014" s="8" t="s">
        <v>24</v>
      </c>
      <c r="E1014" s="8" t="s">
        <v>14</v>
      </c>
      <c r="F1014" s="8" t="s">
        <v>20</v>
      </c>
      <c r="G1014" s="7">
        <v>7</v>
      </c>
      <c r="H1014" s="7">
        <v>11433</v>
      </c>
      <c r="I1014" s="7">
        <v>16098</v>
      </c>
      <c r="J1014" s="7">
        <f t="shared" si="45"/>
        <v>80031</v>
      </c>
      <c r="K1014" s="7">
        <f t="shared" si="46"/>
        <v>112686</v>
      </c>
      <c r="L1014" s="8">
        <f t="shared" si="47"/>
        <v>32655</v>
      </c>
    </row>
    <row r="1015" spans="1:12" x14ac:dyDescent="0.3">
      <c r="A1015" s="8" t="s">
        <v>1047</v>
      </c>
      <c r="B1015" s="9">
        <v>45940</v>
      </c>
      <c r="C1015" s="8" t="s">
        <v>23</v>
      </c>
      <c r="D1015" s="8" t="s">
        <v>17</v>
      </c>
      <c r="E1015" s="8" t="s">
        <v>14</v>
      </c>
      <c r="F1015" s="8" t="s">
        <v>22</v>
      </c>
      <c r="G1015" s="7">
        <v>3</v>
      </c>
      <c r="H1015" s="7">
        <v>8943</v>
      </c>
      <c r="I1015" s="7">
        <v>16412</v>
      </c>
      <c r="J1015" s="7">
        <f t="shared" si="45"/>
        <v>26829</v>
      </c>
      <c r="K1015" s="7">
        <f t="shared" si="46"/>
        <v>49236</v>
      </c>
      <c r="L1015" s="8">
        <f t="shared" si="47"/>
        <v>22407</v>
      </c>
    </row>
    <row r="1016" spans="1:12" x14ac:dyDescent="0.3">
      <c r="A1016" s="8" t="s">
        <v>1048</v>
      </c>
      <c r="B1016" s="9">
        <v>45941</v>
      </c>
      <c r="C1016" s="8" t="s">
        <v>12</v>
      </c>
      <c r="D1016" s="8" t="s">
        <v>29</v>
      </c>
      <c r="E1016" s="8" t="s">
        <v>18</v>
      </c>
      <c r="F1016" s="8" t="s">
        <v>25</v>
      </c>
      <c r="G1016" s="7">
        <v>6</v>
      </c>
      <c r="H1016" s="7">
        <v>9032</v>
      </c>
      <c r="I1016" s="7">
        <v>10792</v>
      </c>
      <c r="J1016" s="7">
        <f t="shared" si="45"/>
        <v>54192</v>
      </c>
      <c r="K1016" s="7">
        <f t="shared" si="46"/>
        <v>64752</v>
      </c>
      <c r="L1016" s="8">
        <f t="shared" si="47"/>
        <v>10560</v>
      </c>
    </row>
    <row r="1017" spans="1:12" x14ac:dyDescent="0.3">
      <c r="A1017" s="8" t="s">
        <v>1049</v>
      </c>
      <c r="B1017" s="9">
        <v>45942</v>
      </c>
      <c r="C1017" s="8" t="s">
        <v>26</v>
      </c>
      <c r="D1017" s="8" t="s">
        <v>29</v>
      </c>
      <c r="E1017" s="8" t="s">
        <v>18</v>
      </c>
      <c r="F1017" s="8" t="s">
        <v>25</v>
      </c>
      <c r="G1017" s="7">
        <v>7</v>
      </c>
      <c r="H1017" s="7">
        <v>39346</v>
      </c>
      <c r="I1017" s="7">
        <v>46565</v>
      </c>
      <c r="J1017" s="7">
        <f t="shared" si="45"/>
        <v>275422</v>
      </c>
      <c r="K1017" s="7">
        <f t="shared" si="46"/>
        <v>325955</v>
      </c>
      <c r="L1017" s="8">
        <f t="shared" si="47"/>
        <v>50533</v>
      </c>
    </row>
    <row r="1018" spans="1:12" x14ac:dyDescent="0.3">
      <c r="A1018" s="8" t="s">
        <v>1050</v>
      </c>
      <c r="B1018" s="9">
        <v>45943</v>
      </c>
      <c r="C1018" s="8" t="s">
        <v>23</v>
      </c>
      <c r="D1018" s="8" t="s">
        <v>27</v>
      </c>
      <c r="E1018" s="8" t="s">
        <v>14</v>
      </c>
      <c r="F1018" s="8" t="s">
        <v>15</v>
      </c>
      <c r="G1018" s="7">
        <v>4</v>
      </c>
      <c r="H1018" s="7">
        <v>39425</v>
      </c>
      <c r="I1018" s="7">
        <v>41215</v>
      </c>
      <c r="J1018" s="7">
        <f t="shared" si="45"/>
        <v>157700</v>
      </c>
      <c r="K1018" s="7">
        <f t="shared" si="46"/>
        <v>164860</v>
      </c>
      <c r="L1018" s="8">
        <f t="shared" si="47"/>
        <v>7160</v>
      </c>
    </row>
    <row r="1019" spans="1:12" x14ac:dyDescent="0.3">
      <c r="A1019" s="8" t="s">
        <v>1051</v>
      </c>
      <c r="B1019" s="9">
        <v>45944</v>
      </c>
      <c r="C1019" s="8" t="s">
        <v>26</v>
      </c>
      <c r="D1019" s="8" t="s">
        <v>29</v>
      </c>
      <c r="E1019" s="8" t="s">
        <v>14</v>
      </c>
      <c r="F1019" s="8" t="s">
        <v>15</v>
      </c>
      <c r="G1019" s="7">
        <v>6</v>
      </c>
      <c r="H1019" s="7">
        <v>9908</v>
      </c>
      <c r="I1019" s="7">
        <v>11450</v>
      </c>
      <c r="J1019" s="7">
        <f t="shared" si="45"/>
        <v>59448</v>
      </c>
      <c r="K1019" s="7">
        <f t="shared" si="46"/>
        <v>68700</v>
      </c>
      <c r="L1019" s="8">
        <f t="shared" si="47"/>
        <v>9252</v>
      </c>
    </row>
    <row r="1020" spans="1:12" x14ac:dyDescent="0.3">
      <c r="A1020" s="8" t="s">
        <v>1052</v>
      </c>
      <c r="B1020" s="9">
        <v>45945</v>
      </c>
      <c r="C1020" s="8" t="s">
        <v>23</v>
      </c>
      <c r="D1020" s="8" t="s">
        <v>17</v>
      </c>
      <c r="E1020" s="8" t="s">
        <v>18</v>
      </c>
      <c r="F1020" s="8" t="s">
        <v>28</v>
      </c>
      <c r="G1020" s="7">
        <v>5</v>
      </c>
      <c r="H1020" s="7">
        <v>16475</v>
      </c>
      <c r="I1020" s="7">
        <v>24802</v>
      </c>
      <c r="J1020" s="7">
        <f t="shared" si="45"/>
        <v>82375</v>
      </c>
      <c r="K1020" s="7">
        <f t="shared" si="46"/>
        <v>124010</v>
      </c>
      <c r="L1020" s="8">
        <f t="shared" si="47"/>
        <v>41635</v>
      </c>
    </row>
    <row r="1021" spans="1:12" x14ac:dyDescent="0.3">
      <c r="A1021" s="8" t="s">
        <v>1053</v>
      </c>
      <c r="B1021" s="9">
        <v>45946</v>
      </c>
      <c r="C1021" s="8" t="s">
        <v>26</v>
      </c>
      <c r="D1021" s="8" t="s">
        <v>13</v>
      </c>
      <c r="E1021" s="8" t="s">
        <v>14</v>
      </c>
      <c r="F1021" s="8" t="s">
        <v>15</v>
      </c>
      <c r="G1021" s="7">
        <v>9</v>
      </c>
      <c r="H1021" s="7">
        <v>6368</v>
      </c>
      <c r="I1021" s="7">
        <v>13954</v>
      </c>
      <c r="J1021" s="7">
        <f t="shared" si="45"/>
        <v>57312</v>
      </c>
      <c r="K1021" s="7">
        <f t="shared" si="46"/>
        <v>125586</v>
      </c>
      <c r="L1021" s="8">
        <f t="shared" si="47"/>
        <v>68274</v>
      </c>
    </row>
    <row r="1022" spans="1:12" x14ac:dyDescent="0.3">
      <c r="A1022" s="8" t="s">
        <v>1054</v>
      </c>
      <c r="B1022" s="9">
        <v>45947</v>
      </c>
      <c r="C1022" s="8" t="s">
        <v>16</v>
      </c>
      <c r="D1022" s="8" t="s">
        <v>29</v>
      </c>
      <c r="E1022" s="8" t="s">
        <v>14</v>
      </c>
      <c r="F1022" s="8" t="s">
        <v>20</v>
      </c>
      <c r="G1022" s="7">
        <v>5</v>
      </c>
      <c r="H1022" s="7">
        <v>26203</v>
      </c>
      <c r="I1022" s="7">
        <v>32651</v>
      </c>
      <c r="J1022" s="7">
        <f t="shared" si="45"/>
        <v>131015</v>
      </c>
      <c r="K1022" s="7">
        <f t="shared" si="46"/>
        <v>163255</v>
      </c>
      <c r="L1022" s="8">
        <f t="shared" si="47"/>
        <v>32240</v>
      </c>
    </row>
    <row r="1023" spans="1:12" x14ac:dyDescent="0.3">
      <c r="A1023" s="8" t="s">
        <v>1055</v>
      </c>
      <c r="B1023" s="9">
        <v>45948</v>
      </c>
      <c r="C1023" s="8" t="s">
        <v>26</v>
      </c>
      <c r="D1023" s="8" t="s">
        <v>13</v>
      </c>
      <c r="E1023" s="8" t="s">
        <v>14</v>
      </c>
      <c r="F1023" s="8" t="s">
        <v>22</v>
      </c>
      <c r="G1023" s="7">
        <v>10</v>
      </c>
      <c r="H1023" s="7">
        <v>15749</v>
      </c>
      <c r="I1023" s="7">
        <v>24248</v>
      </c>
      <c r="J1023" s="7">
        <f t="shared" si="45"/>
        <v>157490</v>
      </c>
      <c r="K1023" s="7">
        <f t="shared" si="46"/>
        <v>242480</v>
      </c>
      <c r="L1023" s="8">
        <f t="shared" si="47"/>
        <v>84990</v>
      </c>
    </row>
    <row r="1024" spans="1:12" x14ac:dyDescent="0.3">
      <c r="A1024" s="8" t="s">
        <v>1056</v>
      </c>
      <c r="B1024" s="9">
        <v>45949</v>
      </c>
      <c r="C1024" s="8" t="s">
        <v>16</v>
      </c>
      <c r="D1024" s="8" t="s">
        <v>17</v>
      </c>
      <c r="E1024" s="8" t="s">
        <v>14</v>
      </c>
      <c r="F1024" s="8" t="s">
        <v>20</v>
      </c>
      <c r="G1024" s="7">
        <v>6</v>
      </c>
      <c r="H1024" s="7">
        <v>28614</v>
      </c>
      <c r="I1024" s="7">
        <v>34277</v>
      </c>
      <c r="J1024" s="7">
        <f t="shared" si="45"/>
        <v>171684</v>
      </c>
      <c r="K1024" s="7">
        <f t="shared" si="46"/>
        <v>205662</v>
      </c>
      <c r="L1024" s="8">
        <f t="shared" si="47"/>
        <v>33978</v>
      </c>
    </row>
    <row r="1025" spans="1:12" x14ac:dyDescent="0.3">
      <c r="A1025" s="8" t="s">
        <v>1057</v>
      </c>
      <c r="B1025" s="9">
        <v>45950</v>
      </c>
      <c r="C1025" s="8" t="s">
        <v>23</v>
      </c>
      <c r="D1025" s="8" t="s">
        <v>27</v>
      </c>
      <c r="E1025" s="8" t="s">
        <v>14</v>
      </c>
      <c r="F1025" s="8" t="s">
        <v>15</v>
      </c>
      <c r="G1025" s="7">
        <v>1</v>
      </c>
      <c r="H1025" s="7">
        <v>26860</v>
      </c>
      <c r="I1025" s="7">
        <v>34641</v>
      </c>
      <c r="J1025" s="7">
        <f t="shared" si="45"/>
        <v>26860</v>
      </c>
      <c r="K1025" s="7">
        <f t="shared" si="46"/>
        <v>34641</v>
      </c>
      <c r="L1025" s="8">
        <f t="shared" si="47"/>
        <v>7781</v>
      </c>
    </row>
    <row r="1026" spans="1:12" x14ac:dyDescent="0.3">
      <c r="A1026" s="8" t="s">
        <v>1058</v>
      </c>
      <c r="B1026" s="9">
        <v>45951</v>
      </c>
      <c r="C1026" s="8" t="s">
        <v>16</v>
      </c>
      <c r="D1026" s="8" t="s">
        <v>24</v>
      </c>
      <c r="E1026" s="8" t="s">
        <v>18</v>
      </c>
      <c r="F1026" s="8" t="s">
        <v>25</v>
      </c>
      <c r="G1026" s="7">
        <v>8</v>
      </c>
      <c r="H1026" s="7">
        <v>32624</v>
      </c>
      <c r="I1026" s="7">
        <v>40754</v>
      </c>
      <c r="J1026" s="7">
        <f t="shared" si="45"/>
        <v>260992</v>
      </c>
      <c r="K1026" s="7">
        <f t="shared" si="46"/>
        <v>326032</v>
      </c>
      <c r="L1026" s="8">
        <f t="shared" si="47"/>
        <v>65040</v>
      </c>
    </row>
    <row r="1027" spans="1:12" x14ac:dyDescent="0.3">
      <c r="A1027" s="8" t="s">
        <v>1059</v>
      </c>
      <c r="B1027" s="9">
        <v>45952</v>
      </c>
      <c r="C1027" s="8" t="s">
        <v>26</v>
      </c>
      <c r="D1027" s="8" t="s">
        <v>27</v>
      </c>
      <c r="E1027" s="8" t="s">
        <v>14</v>
      </c>
      <c r="F1027" s="8" t="s">
        <v>22</v>
      </c>
      <c r="G1027" s="7">
        <v>6</v>
      </c>
      <c r="H1027" s="7">
        <v>10307</v>
      </c>
      <c r="I1027" s="7">
        <v>14915</v>
      </c>
      <c r="J1027" s="7">
        <f t="shared" ref="J1027:J1050" si="48">G1027*H1027</f>
        <v>61842</v>
      </c>
      <c r="K1027" s="7">
        <f t="shared" ref="K1027:K1050" si="49">G1027*I1027</f>
        <v>89490</v>
      </c>
      <c r="L1027" s="8">
        <f t="shared" ref="L1027:L1050" si="50">(I1027-H1027)*G1027</f>
        <v>27648</v>
      </c>
    </row>
    <row r="1028" spans="1:12" x14ac:dyDescent="0.3">
      <c r="A1028" s="8" t="s">
        <v>1060</v>
      </c>
      <c r="B1028" s="9">
        <v>45953</v>
      </c>
      <c r="C1028" s="8" t="s">
        <v>23</v>
      </c>
      <c r="D1028" s="8" t="s">
        <v>27</v>
      </c>
      <c r="E1028" s="8" t="s">
        <v>18</v>
      </c>
      <c r="F1028" s="8" t="s">
        <v>28</v>
      </c>
      <c r="G1028" s="7">
        <v>1</v>
      </c>
      <c r="H1028" s="7">
        <v>9932</v>
      </c>
      <c r="I1028" s="7">
        <v>16330</v>
      </c>
      <c r="J1028" s="7">
        <f t="shared" si="48"/>
        <v>9932</v>
      </c>
      <c r="K1028" s="7">
        <f t="shared" si="49"/>
        <v>16330</v>
      </c>
      <c r="L1028" s="8">
        <f t="shared" si="50"/>
        <v>6398</v>
      </c>
    </row>
    <row r="1029" spans="1:12" x14ac:dyDescent="0.3">
      <c r="A1029" s="8" t="s">
        <v>1061</v>
      </c>
      <c r="B1029" s="9">
        <v>45954</v>
      </c>
      <c r="C1029" s="8" t="s">
        <v>12</v>
      </c>
      <c r="D1029" s="8" t="s">
        <v>17</v>
      </c>
      <c r="E1029" s="8" t="s">
        <v>18</v>
      </c>
      <c r="F1029" s="8" t="s">
        <v>28</v>
      </c>
      <c r="G1029" s="7">
        <v>9</v>
      </c>
      <c r="H1029" s="7">
        <v>5092</v>
      </c>
      <c r="I1029" s="7">
        <v>14487</v>
      </c>
      <c r="J1029" s="7">
        <f t="shared" si="48"/>
        <v>45828</v>
      </c>
      <c r="K1029" s="7">
        <f t="shared" si="49"/>
        <v>130383</v>
      </c>
      <c r="L1029" s="8">
        <f t="shared" si="50"/>
        <v>84555</v>
      </c>
    </row>
    <row r="1030" spans="1:12" x14ac:dyDescent="0.3">
      <c r="A1030" s="8" t="s">
        <v>1062</v>
      </c>
      <c r="B1030" s="9">
        <v>45955</v>
      </c>
      <c r="C1030" s="8" t="s">
        <v>16</v>
      </c>
      <c r="D1030" s="8" t="s">
        <v>27</v>
      </c>
      <c r="E1030" s="8" t="s">
        <v>18</v>
      </c>
      <c r="F1030" s="8" t="s">
        <v>19</v>
      </c>
      <c r="G1030" s="7">
        <v>6</v>
      </c>
      <c r="H1030" s="7">
        <v>39336</v>
      </c>
      <c r="I1030" s="7">
        <v>41136</v>
      </c>
      <c r="J1030" s="7">
        <f t="shared" si="48"/>
        <v>236016</v>
      </c>
      <c r="K1030" s="7">
        <f t="shared" si="49"/>
        <v>246816</v>
      </c>
      <c r="L1030" s="8">
        <f t="shared" si="50"/>
        <v>10800</v>
      </c>
    </row>
    <row r="1031" spans="1:12" x14ac:dyDescent="0.3">
      <c r="A1031" s="8" t="s">
        <v>1063</v>
      </c>
      <c r="B1031" s="9">
        <v>45956</v>
      </c>
      <c r="C1031" s="8" t="s">
        <v>23</v>
      </c>
      <c r="D1031" s="8" t="s">
        <v>13</v>
      </c>
      <c r="E1031" s="8" t="s">
        <v>14</v>
      </c>
      <c r="F1031" s="8" t="s">
        <v>15</v>
      </c>
      <c r="G1031" s="7">
        <v>2</v>
      </c>
      <c r="H1031" s="7">
        <v>21418</v>
      </c>
      <c r="I1031" s="7">
        <v>29524</v>
      </c>
      <c r="J1031" s="7">
        <f t="shared" si="48"/>
        <v>42836</v>
      </c>
      <c r="K1031" s="7">
        <f t="shared" si="49"/>
        <v>59048</v>
      </c>
      <c r="L1031" s="8">
        <f t="shared" si="50"/>
        <v>16212</v>
      </c>
    </row>
    <row r="1032" spans="1:12" x14ac:dyDescent="0.3">
      <c r="A1032" s="8" t="s">
        <v>1064</v>
      </c>
      <c r="B1032" s="9">
        <v>45957</v>
      </c>
      <c r="C1032" s="8" t="s">
        <v>12</v>
      </c>
      <c r="D1032" s="8" t="s">
        <v>29</v>
      </c>
      <c r="E1032" s="8" t="s">
        <v>18</v>
      </c>
      <c r="F1032" s="8" t="s">
        <v>28</v>
      </c>
      <c r="G1032" s="7">
        <v>3</v>
      </c>
      <c r="H1032" s="7">
        <v>15055</v>
      </c>
      <c r="I1032" s="7">
        <v>21282</v>
      </c>
      <c r="J1032" s="7">
        <f t="shared" si="48"/>
        <v>45165</v>
      </c>
      <c r="K1032" s="7">
        <f t="shared" si="49"/>
        <v>63846</v>
      </c>
      <c r="L1032" s="8">
        <f t="shared" si="50"/>
        <v>18681</v>
      </c>
    </row>
    <row r="1033" spans="1:12" x14ac:dyDescent="0.3">
      <c r="A1033" s="8" t="s">
        <v>1065</v>
      </c>
      <c r="B1033" s="9">
        <v>45958</v>
      </c>
      <c r="C1033" s="8" t="s">
        <v>16</v>
      </c>
      <c r="D1033" s="8" t="s">
        <v>29</v>
      </c>
      <c r="E1033" s="8" t="s">
        <v>18</v>
      </c>
      <c r="F1033" s="8" t="s">
        <v>25</v>
      </c>
      <c r="G1033" s="7">
        <v>4</v>
      </c>
      <c r="H1033" s="7">
        <v>31222</v>
      </c>
      <c r="I1033" s="7">
        <v>35326</v>
      </c>
      <c r="J1033" s="7">
        <f t="shared" si="48"/>
        <v>124888</v>
      </c>
      <c r="K1033" s="7">
        <f t="shared" si="49"/>
        <v>141304</v>
      </c>
      <c r="L1033" s="8">
        <f t="shared" si="50"/>
        <v>16416</v>
      </c>
    </row>
    <row r="1034" spans="1:12" x14ac:dyDescent="0.3">
      <c r="A1034" s="8" t="s">
        <v>1066</v>
      </c>
      <c r="B1034" s="9">
        <v>45959</v>
      </c>
      <c r="C1034" s="8" t="s">
        <v>26</v>
      </c>
      <c r="D1034" s="8" t="s">
        <v>21</v>
      </c>
      <c r="E1034" s="8" t="s">
        <v>14</v>
      </c>
      <c r="F1034" s="8" t="s">
        <v>15</v>
      </c>
      <c r="G1034" s="7">
        <v>9</v>
      </c>
      <c r="H1034" s="7">
        <v>36428</v>
      </c>
      <c r="I1034" s="7">
        <v>44213</v>
      </c>
      <c r="J1034" s="7">
        <f t="shared" si="48"/>
        <v>327852</v>
      </c>
      <c r="K1034" s="7">
        <f t="shared" si="49"/>
        <v>397917</v>
      </c>
      <c r="L1034" s="8">
        <f t="shared" si="50"/>
        <v>70065</v>
      </c>
    </row>
    <row r="1035" spans="1:12" x14ac:dyDescent="0.3">
      <c r="A1035" s="8" t="s">
        <v>1067</v>
      </c>
      <c r="B1035" s="9">
        <v>45960</v>
      </c>
      <c r="C1035" s="8" t="s">
        <v>23</v>
      </c>
      <c r="D1035" s="8" t="s">
        <v>21</v>
      </c>
      <c r="E1035" s="8" t="s">
        <v>18</v>
      </c>
      <c r="F1035" s="8" t="s">
        <v>28</v>
      </c>
      <c r="G1035" s="7">
        <v>7</v>
      </c>
      <c r="H1035" s="7">
        <v>28791</v>
      </c>
      <c r="I1035" s="7">
        <v>36340</v>
      </c>
      <c r="J1035" s="7">
        <f t="shared" si="48"/>
        <v>201537</v>
      </c>
      <c r="K1035" s="7">
        <f t="shared" si="49"/>
        <v>254380</v>
      </c>
      <c r="L1035" s="8">
        <f t="shared" si="50"/>
        <v>52843</v>
      </c>
    </row>
    <row r="1036" spans="1:12" x14ac:dyDescent="0.3">
      <c r="A1036" s="8" t="s">
        <v>1068</v>
      </c>
      <c r="B1036" s="9">
        <v>45961</v>
      </c>
      <c r="C1036" s="8" t="s">
        <v>23</v>
      </c>
      <c r="D1036" s="8" t="s">
        <v>17</v>
      </c>
      <c r="E1036" s="8" t="s">
        <v>18</v>
      </c>
      <c r="F1036" s="8" t="s">
        <v>19</v>
      </c>
      <c r="G1036" s="7">
        <v>1</v>
      </c>
      <c r="H1036" s="7">
        <v>23560</v>
      </c>
      <c r="I1036" s="7">
        <v>24203</v>
      </c>
      <c r="J1036" s="7">
        <f t="shared" si="48"/>
        <v>23560</v>
      </c>
      <c r="K1036" s="7">
        <f t="shared" si="49"/>
        <v>24203</v>
      </c>
      <c r="L1036" s="8">
        <f t="shared" si="50"/>
        <v>643</v>
      </c>
    </row>
    <row r="1037" spans="1:12" x14ac:dyDescent="0.3">
      <c r="A1037" s="8" t="s">
        <v>1069</v>
      </c>
      <c r="B1037" s="9">
        <v>45962</v>
      </c>
      <c r="C1037" s="8" t="s">
        <v>16</v>
      </c>
      <c r="D1037" s="8" t="s">
        <v>24</v>
      </c>
      <c r="E1037" s="8" t="s">
        <v>18</v>
      </c>
      <c r="F1037" s="8" t="s">
        <v>25</v>
      </c>
      <c r="G1037" s="7">
        <v>1</v>
      </c>
      <c r="H1037" s="7">
        <v>25737</v>
      </c>
      <c r="I1037" s="7">
        <v>31346</v>
      </c>
      <c r="J1037" s="7">
        <f t="shared" si="48"/>
        <v>25737</v>
      </c>
      <c r="K1037" s="7">
        <f t="shared" si="49"/>
        <v>31346</v>
      </c>
      <c r="L1037" s="8">
        <f t="shared" si="50"/>
        <v>5609</v>
      </c>
    </row>
    <row r="1038" spans="1:12" x14ac:dyDescent="0.3">
      <c r="A1038" s="8" t="s">
        <v>1070</v>
      </c>
      <c r="B1038" s="9">
        <v>45963</v>
      </c>
      <c r="C1038" s="8" t="s">
        <v>23</v>
      </c>
      <c r="D1038" s="8" t="s">
        <v>29</v>
      </c>
      <c r="E1038" s="8" t="s">
        <v>14</v>
      </c>
      <c r="F1038" s="8" t="s">
        <v>22</v>
      </c>
      <c r="G1038" s="7">
        <v>1</v>
      </c>
      <c r="H1038" s="7">
        <v>13415</v>
      </c>
      <c r="I1038" s="7">
        <v>19241</v>
      </c>
      <c r="J1038" s="7">
        <f t="shared" si="48"/>
        <v>13415</v>
      </c>
      <c r="K1038" s="7">
        <f t="shared" si="49"/>
        <v>19241</v>
      </c>
      <c r="L1038" s="8">
        <f t="shared" si="50"/>
        <v>5826</v>
      </c>
    </row>
    <row r="1039" spans="1:12" x14ac:dyDescent="0.3">
      <c r="A1039" s="8" t="s">
        <v>1071</v>
      </c>
      <c r="B1039" s="9">
        <v>45964</v>
      </c>
      <c r="C1039" s="8" t="s">
        <v>12</v>
      </c>
      <c r="D1039" s="8" t="s">
        <v>29</v>
      </c>
      <c r="E1039" s="8" t="s">
        <v>18</v>
      </c>
      <c r="F1039" s="8" t="s">
        <v>28</v>
      </c>
      <c r="G1039" s="7">
        <v>2</v>
      </c>
      <c r="H1039" s="7">
        <v>17704</v>
      </c>
      <c r="I1039" s="7">
        <v>25263</v>
      </c>
      <c r="J1039" s="7">
        <f t="shared" si="48"/>
        <v>35408</v>
      </c>
      <c r="K1039" s="7">
        <f t="shared" si="49"/>
        <v>50526</v>
      </c>
      <c r="L1039" s="8">
        <f t="shared" si="50"/>
        <v>15118</v>
      </c>
    </row>
    <row r="1040" spans="1:12" x14ac:dyDescent="0.3">
      <c r="A1040" s="8" t="s">
        <v>1072</v>
      </c>
      <c r="B1040" s="9">
        <v>45965</v>
      </c>
      <c r="C1040" s="8" t="s">
        <v>16</v>
      </c>
      <c r="D1040" s="8" t="s">
        <v>17</v>
      </c>
      <c r="E1040" s="8" t="s">
        <v>14</v>
      </c>
      <c r="F1040" s="8" t="s">
        <v>15</v>
      </c>
      <c r="G1040" s="7">
        <v>1</v>
      </c>
      <c r="H1040" s="7">
        <v>17561</v>
      </c>
      <c r="I1040" s="7">
        <v>24203</v>
      </c>
      <c r="J1040" s="7">
        <f t="shared" si="48"/>
        <v>17561</v>
      </c>
      <c r="K1040" s="7">
        <f t="shared" si="49"/>
        <v>24203</v>
      </c>
      <c r="L1040" s="8">
        <f t="shared" si="50"/>
        <v>6642</v>
      </c>
    </row>
    <row r="1041" spans="1:12" x14ac:dyDescent="0.3">
      <c r="A1041" s="8" t="s">
        <v>1073</v>
      </c>
      <c r="B1041" s="9">
        <v>45966</v>
      </c>
      <c r="C1041" s="8" t="s">
        <v>26</v>
      </c>
      <c r="D1041" s="8" t="s">
        <v>17</v>
      </c>
      <c r="E1041" s="8" t="s">
        <v>14</v>
      </c>
      <c r="F1041" s="8" t="s">
        <v>20</v>
      </c>
      <c r="G1041" s="7">
        <v>10</v>
      </c>
      <c r="H1041" s="7">
        <v>26390</v>
      </c>
      <c r="I1041" s="7">
        <v>35766</v>
      </c>
      <c r="J1041" s="7">
        <f t="shared" si="48"/>
        <v>263900</v>
      </c>
      <c r="K1041" s="7">
        <f t="shared" si="49"/>
        <v>357660</v>
      </c>
      <c r="L1041" s="8">
        <f t="shared" si="50"/>
        <v>93760</v>
      </c>
    </row>
    <row r="1042" spans="1:12" x14ac:dyDescent="0.3">
      <c r="A1042" s="8" t="s">
        <v>1074</v>
      </c>
      <c r="B1042" s="9">
        <v>45967</v>
      </c>
      <c r="C1042" s="8" t="s">
        <v>12</v>
      </c>
      <c r="D1042" s="8" t="s">
        <v>13</v>
      </c>
      <c r="E1042" s="8" t="s">
        <v>14</v>
      </c>
      <c r="F1042" s="8" t="s">
        <v>22</v>
      </c>
      <c r="G1042" s="7">
        <v>1</v>
      </c>
      <c r="H1042" s="7">
        <v>14303</v>
      </c>
      <c r="I1042" s="7">
        <v>21925</v>
      </c>
      <c r="J1042" s="7">
        <f t="shared" si="48"/>
        <v>14303</v>
      </c>
      <c r="K1042" s="7">
        <f t="shared" si="49"/>
        <v>21925</v>
      </c>
      <c r="L1042" s="8">
        <f t="shared" si="50"/>
        <v>7622</v>
      </c>
    </row>
    <row r="1043" spans="1:12" x14ac:dyDescent="0.3">
      <c r="A1043" s="8" t="s">
        <v>1075</v>
      </c>
      <c r="B1043" s="9">
        <v>45968</v>
      </c>
      <c r="C1043" s="8" t="s">
        <v>12</v>
      </c>
      <c r="D1043" s="8" t="s">
        <v>17</v>
      </c>
      <c r="E1043" s="8" t="s">
        <v>14</v>
      </c>
      <c r="F1043" s="8" t="s">
        <v>20</v>
      </c>
      <c r="G1043" s="7">
        <v>1</v>
      </c>
      <c r="H1043" s="7">
        <v>20070</v>
      </c>
      <c r="I1043" s="7">
        <v>21257</v>
      </c>
      <c r="J1043" s="7">
        <f t="shared" si="48"/>
        <v>20070</v>
      </c>
      <c r="K1043" s="7">
        <f t="shared" si="49"/>
        <v>21257</v>
      </c>
      <c r="L1043" s="8">
        <f t="shared" si="50"/>
        <v>1187</v>
      </c>
    </row>
    <row r="1044" spans="1:12" x14ac:dyDescent="0.3">
      <c r="A1044" s="8" t="s">
        <v>1076</v>
      </c>
      <c r="B1044" s="9">
        <v>45969</v>
      </c>
      <c r="C1044" s="8" t="s">
        <v>26</v>
      </c>
      <c r="D1044" s="8" t="s">
        <v>27</v>
      </c>
      <c r="E1044" s="8" t="s">
        <v>18</v>
      </c>
      <c r="F1044" s="8" t="s">
        <v>19</v>
      </c>
      <c r="G1044" s="7">
        <v>3</v>
      </c>
      <c r="H1044" s="7">
        <v>14529</v>
      </c>
      <c r="I1044" s="7">
        <v>16875</v>
      </c>
      <c r="J1044" s="7">
        <f t="shared" si="48"/>
        <v>43587</v>
      </c>
      <c r="K1044" s="7">
        <f t="shared" si="49"/>
        <v>50625</v>
      </c>
      <c r="L1044" s="8">
        <f t="shared" si="50"/>
        <v>7038</v>
      </c>
    </row>
    <row r="1045" spans="1:12" x14ac:dyDescent="0.3">
      <c r="A1045" s="8" t="s">
        <v>1077</v>
      </c>
      <c r="B1045" s="9">
        <v>45970</v>
      </c>
      <c r="C1045" s="8" t="s">
        <v>12</v>
      </c>
      <c r="D1045" s="8" t="s">
        <v>29</v>
      </c>
      <c r="E1045" s="8" t="s">
        <v>14</v>
      </c>
      <c r="F1045" s="8" t="s">
        <v>20</v>
      </c>
      <c r="G1045" s="7">
        <v>5</v>
      </c>
      <c r="H1045" s="7">
        <v>36282</v>
      </c>
      <c r="I1045" s="7">
        <v>41513</v>
      </c>
      <c r="J1045" s="7">
        <f t="shared" si="48"/>
        <v>181410</v>
      </c>
      <c r="K1045" s="7">
        <f t="shared" si="49"/>
        <v>207565</v>
      </c>
      <c r="L1045" s="8">
        <f t="shared" si="50"/>
        <v>26155</v>
      </c>
    </row>
    <row r="1046" spans="1:12" x14ac:dyDescent="0.3">
      <c r="A1046" s="8" t="s">
        <v>1078</v>
      </c>
      <c r="B1046" s="9">
        <v>45971</v>
      </c>
      <c r="C1046" s="8" t="s">
        <v>23</v>
      </c>
      <c r="D1046" s="8" t="s">
        <v>24</v>
      </c>
      <c r="E1046" s="8" t="s">
        <v>14</v>
      </c>
      <c r="F1046" s="8" t="s">
        <v>15</v>
      </c>
      <c r="G1046" s="7">
        <v>8</v>
      </c>
      <c r="H1046" s="7">
        <v>11839</v>
      </c>
      <c r="I1046" s="7">
        <v>13378</v>
      </c>
      <c r="J1046" s="7">
        <f t="shared" si="48"/>
        <v>94712</v>
      </c>
      <c r="K1046" s="7">
        <f t="shared" si="49"/>
        <v>107024</v>
      </c>
      <c r="L1046" s="8">
        <f t="shared" si="50"/>
        <v>12312</v>
      </c>
    </row>
    <row r="1047" spans="1:12" x14ac:dyDescent="0.3">
      <c r="A1047" s="8" t="s">
        <v>1079</v>
      </c>
      <c r="B1047" s="9">
        <v>45972</v>
      </c>
      <c r="C1047" s="8" t="s">
        <v>12</v>
      </c>
      <c r="D1047" s="8" t="s">
        <v>17</v>
      </c>
      <c r="E1047" s="8" t="s">
        <v>14</v>
      </c>
      <c r="F1047" s="8" t="s">
        <v>20</v>
      </c>
      <c r="G1047" s="7">
        <v>4</v>
      </c>
      <c r="H1047" s="7">
        <v>19257</v>
      </c>
      <c r="I1047" s="7">
        <v>20270</v>
      </c>
      <c r="J1047" s="7">
        <f t="shared" si="48"/>
        <v>77028</v>
      </c>
      <c r="K1047" s="7">
        <f t="shared" si="49"/>
        <v>81080</v>
      </c>
      <c r="L1047" s="8">
        <f t="shared" si="50"/>
        <v>4052</v>
      </c>
    </row>
    <row r="1048" spans="1:12" x14ac:dyDescent="0.3">
      <c r="A1048" s="8" t="s">
        <v>1080</v>
      </c>
      <c r="B1048" s="9">
        <v>45973</v>
      </c>
      <c r="C1048" s="8" t="s">
        <v>23</v>
      </c>
      <c r="D1048" s="8" t="s">
        <v>17</v>
      </c>
      <c r="E1048" s="8" t="s">
        <v>18</v>
      </c>
      <c r="F1048" s="8" t="s">
        <v>28</v>
      </c>
      <c r="G1048" s="7">
        <v>1</v>
      </c>
      <c r="H1048" s="7">
        <v>11655</v>
      </c>
      <c r="I1048" s="7">
        <v>17277</v>
      </c>
      <c r="J1048" s="7">
        <f t="shared" si="48"/>
        <v>11655</v>
      </c>
      <c r="K1048" s="7">
        <f t="shared" si="49"/>
        <v>17277</v>
      </c>
      <c r="L1048" s="8">
        <f t="shared" si="50"/>
        <v>5622</v>
      </c>
    </row>
    <row r="1049" spans="1:12" x14ac:dyDescent="0.3">
      <c r="A1049" s="8" t="s">
        <v>1081</v>
      </c>
      <c r="B1049" s="9">
        <v>45974</v>
      </c>
      <c r="C1049" s="8" t="s">
        <v>26</v>
      </c>
      <c r="D1049" s="8" t="s">
        <v>24</v>
      </c>
      <c r="E1049" s="8" t="s">
        <v>14</v>
      </c>
      <c r="F1049" s="8" t="s">
        <v>20</v>
      </c>
      <c r="G1049" s="7">
        <v>6</v>
      </c>
      <c r="H1049" s="7">
        <v>37692</v>
      </c>
      <c r="I1049" s="7">
        <v>44462</v>
      </c>
      <c r="J1049" s="7">
        <f t="shared" si="48"/>
        <v>226152</v>
      </c>
      <c r="K1049" s="7">
        <f t="shared" si="49"/>
        <v>266772</v>
      </c>
      <c r="L1049" s="8">
        <f t="shared" si="50"/>
        <v>40620</v>
      </c>
    </row>
    <row r="1050" spans="1:12" x14ac:dyDescent="0.3">
      <c r="A1050" s="8" t="s">
        <v>1082</v>
      </c>
      <c r="B1050" s="9">
        <v>45975</v>
      </c>
      <c r="C1050" s="8" t="s">
        <v>26</v>
      </c>
      <c r="D1050" s="8" t="s">
        <v>27</v>
      </c>
      <c r="E1050" s="8" t="s">
        <v>18</v>
      </c>
      <c r="F1050" s="8" t="s">
        <v>25</v>
      </c>
      <c r="G1050" s="7">
        <v>3</v>
      </c>
      <c r="H1050" s="7">
        <v>29548</v>
      </c>
      <c r="I1050" s="7">
        <v>31567</v>
      </c>
      <c r="J1050" s="7">
        <f t="shared" si="48"/>
        <v>88644</v>
      </c>
      <c r="K1050" s="7">
        <f t="shared" si="49"/>
        <v>94701</v>
      </c>
      <c r="L1050" s="8">
        <f t="shared" si="50"/>
        <v>6057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79A1-B977-4ECB-B1CB-01737F656F49}">
  <dimension ref="A2:J49"/>
  <sheetViews>
    <sheetView zoomScaleNormal="100" workbookViewId="0">
      <selection activeCell="P14" sqref="P14"/>
    </sheetView>
  </sheetViews>
  <sheetFormatPr defaultRowHeight="14.4" x14ac:dyDescent="0.3"/>
  <cols>
    <col min="1" max="1" width="10.77734375" bestFit="1" customWidth="1"/>
    <col min="2" max="2" width="16.44140625" bestFit="1" customWidth="1"/>
    <col min="3" max="3" width="14.88671875" bestFit="1" customWidth="1"/>
    <col min="4" max="4" width="20.6640625" bestFit="1" customWidth="1"/>
    <col min="5" max="5" width="12" bestFit="1" customWidth="1"/>
    <col min="6" max="6" width="12.5546875" bestFit="1" customWidth="1"/>
    <col min="7" max="7" width="16.44140625" bestFit="1" customWidth="1"/>
    <col min="8" max="8" width="12.109375" bestFit="1" customWidth="1"/>
    <col min="9" max="9" width="11" bestFit="1" customWidth="1"/>
    <col min="10" max="14" width="12" bestFit="1" customWidth="1"/>
  </cols>
  <sheetData>
    <row r="2" spans="1:10" x14ac:dyDescent="0.3">
      <c r="H2" s="14">
        <f>GETPIVOTDATA("Sum of Total Sales",$A$9)</f>
        <v>142468239</v>
      </c>
    </row>
    <row r="3" spans="1:10" x14ac:dyDescent="0.3">
      <c r="A3" s="3" t="s">
        <v>1088</v>
      </c>
      <c r="B3" t="s">
        <v>232</v>
      </c>
      <c r="H3" s="14">
        <f>GETPIVOTDATA("Sum of Profit",$A$9)</f>
        <v>27813999</v>
      </c>
      <c r="J3" s="13">
        <f>COUNTA(_xlfn.UNIQUE(SALE_TABLE!A:A))</f>
        <v>1051</v>
      </c>
    </row>
    <row r="4" spans="1:10" x14ac:dyDescent="0.3">
      <c r="A4" s="5" t="s">
        <v>14</v>
      </c>
      <c r="B4" s="2">
        <v>16283980</v>
      </c>
      <c r="H4" s="14">
        <f>GETPIVOTDATA("Average of Total Sales2",$A$9)</f>
        <v>135813.3832221163</v>
      </c>
    </row>
    <row r="5" spans="1:10" x14ac:dyDescent="0.3">
      <c r="A5" s="5" t="s">
        <v>18</v>
      </c>
      <c r="B5" s="2">
        <v>11530019</v>
      </c>
      <c r="H5" s="13">
        <f>GETPIVOTDATA("Sum of Quantity",$A$25)</f>
        <v>4710</v>
      </c>
    </row>
    <row r="6" spans="1:10" x14ac:dyDescent="0.3">
      <c r="A6" s="5" t="s">
        <v>230</v>
      </c>
      <c r="B6" s="2">
        <v>27813999</v>
      </c>
      <c r="H6" s="15">
        <v>0.2</v>
      </c>
    </row>
    <row r="7" spans="1:10" x14ac:dyDescent="0.3">
      <c r="H7" s="11"/>
    </row>
    <row r="9" spans="1:10" x14ac:dyDescent="0.3">
      <c r="A9" s="3" t="s">
        <v>1088</v>
      </c>
      <c r="B9" s="12" t="s">
        <v>231</v>
      </c>
      <c r="C9" s="12" t="s">
        <v>232</v>
      </c>
      <c r="D9" s="12" t="s">
        <v>1095</v>
      </c>
      <c r="F9" s="3" t="s">
        <v>1088</v>
      </c>
      <c r="G9" t="s">
        <v>231</v>
      </c>
    </row>
    <row r="10" spans="1:10" x14ac:dyDescent="0.3">
      <c r="A10" s="6" t="s">
        <v>1089</v>
      </c>
      <c r="B10" s="2">
        <v>12936993</v>
      </c>
      <c r="C10" s="2">
        <v>2409129</v>
      </c>
      <c r="D10" s="2">
        <v>139107.45161290321</v>
      </c>
      <c r="F10" s="6" t="s">
        <v>1089</v>
      </c>
      <c r="G10" s="2">
        <v>12936993</v>
      </c>
    </row>
    <row r="11" spans="1:10" x14ac:dyDescent="0.3">
      <c r="A11" s="6" t="s">
        <v>1090</v>
      </c>
      <c r="B11" s="2">
        <v>10649337</v>
      </c>
      <c r="C11" s="2">
        <v>2102380</v>
      </c>
      <c r="D11" s="2">
        <v>125286.31764705882</v>
      </c>
      <c r="F11" s="6" t="s">
        <v>1090</v>
      </c>
      <c r="G11" s="2">
        <v>10649337</v>
      </c>
    </row>
    <row r="12" spans="1:10" x14ac:dyDescent="0.3">
      <c r="A12" s="6" t="s">
        <v>1091</v>
      </c>
      <c r="B12" s="2">
        <v>12459588</v>
      </c>
      <c r="C12" s="2">
        <v>2474871</v>
      </c>
      <c r="D12" s="2">
        <v>133974.06451612903</v>
      </c>
      <c r="F12" s="6" t="s">
        <v>1091</v>
      </c>
      <c r="G12" s="2">
        <v>12459588</v>
      </c>
    </row>
    <row r="13" spans="1:10" x14ac:dyDescent="0.3">
      <c r="A13" s="6" t="s">
        <v>1092</v>
      </c>
      <c r="B13" s="2">
        <v>12930590</v>
      </c>
      <c r="C13" s="2">
        <v>2561266</v>
      </c>
      <c r="D13" s="2">
        <v>143673.22222222222</v>
      </c>
      <c r="F13" s="6" t="s">
        <v>1092</v>
      </c>
      <c r="G13" s="2">
        <v>12930590</v>
      </c>
    </row>
    <row r="14" spans="1:10" x14ac:dyDescent="0.3">
      <c r="A14" s="6" t="s">
        <v>233</v>
      </c>
      <c r="B14" s="2">
        <v>12674267</v>
      </c>
      <c r="C14" s="2">
        <v>2529606</v>
      </c>
      <c r="D14" s="2">
        <v>136282.44086021505</v>
      </c>
      <c r="F14" s="6" t="s">
        <v>233</v>
      </c>
      <c r="G14" s="2">
        <v>12674267</v>
      </c>
    </row>
    <row r="15" spans="1:10" x14ac:dyDescent="0.3">
      <c r="A15" s="6" t="s">
        <v>1093</v>
      </c>
      <c r="B15" s="2">
        <v>12581980</v>
      </c>
      <c r="C15" s="2">
        <v>2363706</v>
      </c>
      <c r="D15" s="2">
        <v>139799.77777777778</v>
      </c>
      <c r="F15" s="6" t="s">
        <v>1093</v>
      </c>
      <c r="G15" s="2">
        <v>12581980</v>
      </c>
    </row>
    <row r="16" spans="1:10" x14ac:dyDescent="0.3">
      <c r="A16" s="6" t="s">
        <v>1094</v>
      </c>
      <c r="B16" s="2">
        <v>12273000</v>
      </c>
      <c r="C16" s="2">
        <v>2415217</v>
      </c>
      <c r="D16" s="2">
        <v>131967.74193548388</v>
      </c>
      <c r="F16" s="6" t="s">
        <v>1094</v>
      </c>
      <c r="G16" s="2">
        <v>12273000</v>
      </c>
    </row>
    <row r="17" spans="1:7" x14ac:dyDescent="0.3">
      <c r="A17" s="6" t="s">
        <v>1083</v>
      </c>
      <c r="B17" s="2">
        <v>12619558</v>
      </c>
      <c r="C17" s="2">
        <v>2418592</v>
      </c>
      <c r="D17" s="2">
        <v>135694.17204301077</v>
      </c>
      <c r="F17" s="6" t="s">
        <v>1083</v>
      </c>
      <c r="G17" s="2">
        <v>12619558</v>
      </c>
    </row>
    <row r="18" spans="1:7" x14ac:dyDescent="0.3">
      <c r="A18" s="6" t="s">
        <v>1084</v>
      </c>
      <c r="B18" s="2">
        <v>11664847</v>
      </c>
      <c r="C18" s="2">
        <v>2221131</v>
      </c>
      <c r="D18" s="2">
        <v>129609.41111111111</v>
      </c>
      <c r="F18" s="6" t="s">
        <v>1084</v>
      </c>
      <c r="G18" s="2">
        <v>11664847</v>
      </c>
    </row>
    <row r="19" spans="1:7" x14ac:dyDescent="0.3">
      <c r="A19" s="6" t="s">
        <v>1085</v>
      </c>
      <c r="B19" s="2">
        <v>13324142</v>
      </c>
      <c r="C19" s="2">
        <v>2575609</v>
      </c>
      <c r="D19" s="2">
        <v>143270.34408602151</v>
      </c>
      <c r="F19" s="6" t="s">
        <v>1085</v>
      </c>
      <c r="G19" s="2">
        <v>13324142</v>
      </c>
    </row>
    <row r="20" spans="1:7" x14ac:dyDescent="0.3">
      <c r="A20" s="6" t="s">
        <v>1086</v>
      </c>
      <c r="B20" s="2">
        <v>8889346</v>
      </c>
      <c r="C20" s="2">
        <v>1822249</v>
      </c>
      <c r="D20" s="2">
        <v>120126.29729729729</v>
      </c>
      <c r="F20" s="6" t="s">
        <v>1086</v>
      </c>
      <c r="G20" s="2">
        <v>8889346</v>
      </c>
    </row>
    <row r="21" spans="1:7" x14ac:dyDescent="0.3">
      <c r="A21" s="6" t="s">
        <v>1087</v>
      </c>
      <c r="B21" s="2">
        <v>9464591</v>
      </c>
      <c r="C21" s="2">
        <v>1920243</v>
      </c>
      <c r="D21" s="2">
        <v>152654.69354838709</v>
      </c>
      <c r="F21" s="6" t="s">
        <v>1087</v>
      </c>
      <c r="G21" s="2">
        <v>9464591</v>
      </c>
    </row>
    <row r="22" spans="1:7" x14ac:dyDescent="0.3">
      <c r="A22" s="6" t="s">
        <v>230</v>
      </c>
      <c r="B22" s="2">
        <v>142468239</v>
      </c>
      <c r="C22" s="2">
        <v>27813999</v>
      </c>
      <c r="D22" s="10">
        <v>135813.3832221163</v>
      </c>
      <c r="F22" s="6" t="s">
        <v>230</v>
      </c>
      <c r="G22" s="2">
        <v>142468239</v>
      </c>
    </row>
    <row r="25" spans="1:7" x14ac:dyDescent="0.3">
      <c r="A25" s="3" t="s">
        <v>1088</v>
      </c>
      <c r="B25" s="12" t="s">
        <v>231</v>
      </c>
      <c r="C25" s="12" t="s">
        <v>1096</v>
      </c>
    </row>
    <row r="26" spans="1:7" x14ac:dyDescent="0.3">
      <c r="A26" s="5" t="s">
        <v>15</v>
      </c>
      <c r="B26" s="2">
        <v>21788480</v>
      </c>
      <c r="C26" s="2">
        <v>836</v>
      </c>
    </row>
    <row r="27" spans="1:7" x14ac:dyDescent="0.3">
      <c r="A27" s="5" t="s">
        <v>25</v>
      </c>
      <c r="B27" s="2">
        <v>22321206</v>
      </c>
      <c r="C27" s="2">
        <v>909</v>
      </c>
    </row>
    <row r="28" spans="1:7" x14ac:dyDescent="0.3">
      <c r="A28" s="5" t="s">
        <v>28</v>
      </c>
      <c r="B28" s="2">
        <v>22679860</v>
      </c>
      <c r="C28" s="2">
        <v>815</v>
      </c>
    </row>
    <row r="29" spans="1:7" x14ac:dyDescent="0.3">
      <c r="A29" s="5" t="s">
        <v>20</v>
      </c>
      <c r="B29" s="2">
        <v>26702878</v>
      </c>
      <c r="C29" s="2">
        <v>1054</v>
      </c>
    </row>
    <row r="30" spans="1:7" x14ac:dyDescent="0.3">
      <c r="A30" s="5" t="s">
        <v>22</v>
      </c>
      <c r="B30" s="2">
        <v>28414941</v>
      </c>
      <c r="C30" s="2">
        <v>1096</v>
      </c>
    </row>
    <row r="31" spans="1:7" x14ac:dyDescent="0.3">
      <c r="A31" s="5" t="s">
        <v>230</v>
      </c>
      <c r="B31" s="2">
        <v>121907365</v>
      </c>
      <c r="C31" s="2">
        <v>4710</v>
      </c>
    </row>
    <row r="35" spans="1:2" x14ac:dyDescent="0.3">
      <c r="A35" s="3" t="s">
        <v>1088</v>
      </c>
      <c r="B35" t="s">
        <v>231</v>
      </c>
    </row>
    <row r="36" spans="1:2" x14ac:dyDescent="0.3">
      <c r="A36" s="5" t="s">
        <v>12</v>
      </c>
      <c r="B36" s="14">
        <v>39837261</v>
      </c>
    </row>
    <row r="37" spans="1:2" x14ac:dyDescent="0.3">
      <c r="A37" s="5" t="s">
        <v>16</v>
      </c>
      <c r="B37" s="14">
        <v>39009048</v>
      </c>
    </row>
    <row r="38" spans="1:2" x14ac:dyDescent="0.3">
      <c r="A38" s="5" t="s">
        <v>26</v>
      </c>
      <c r="B38" s="14">
        <v>38022781</v>
      </c>
    </row>
    <row r="39" spans="1:2" x14ac:dyDescent="0.3">
      <c r="A39" s="5" t="s">
        <v>23</v>
      </c>
      <c r="B39" s="14">
        <v>25599149</v>
      </c>
    </row>
    <row r="40" spans="1:2" x14ac:dyDescent="0.3">
      <c r="A40" s="5" t="s">
        <v>230</v>
      </c>
      <c r="B40" s="14">
        <v>142468239</v>
      </c>
    </row>
    <row r="43" spans="1:2" x14ac:dyDescent="0.3">
      <c r="A43" s="3" t="s">
        <v>17</v>
      </c>
      <c r="B43" t="s">
        <v>231</v>
      </c>
    </row>
    <row r="44" spans="1:2" x14ac:dyDescent="0.3">
      <c r="A44" s="5" t="s">
        <v>29</v>
      </c>
      <c r="B44" s="14">
        <v>29002641</v>
      </c>
    </row>
    <row r="45" spans="1:2" x14ac:dyDescent="0.3">
      <c r="A45" s="5" t="s">
        <v>27</v>
      </c>
      <c r="B45" s="14">
        <v>27408133</v>
      </c>
    </row>
    <row r="46" spans="1:2" x14ac:dyDescent="0.3">
      <c r="A46" s="5" t="s">
        <v>17</v>
      </c>
      <c r="B46" s="14">
        <v>27160837</v>
      </c>
    </row>
    <row r="47" spans="1:2" x14ac:dyDescent="0.3">
      <c r="A47" s="5" t="s">
        <v>21</v>
      </c>
      <c r="B47" s="14">
        <v>26353693</v>
      </c>
    </row>
    <row r="48" spans="1:2" x14ac:dyDescent="0.3">
      <c r="A48" s="5" t="s">
        <v>13</v>
      </c>
      <c r="B48" s="14">
        <v>18518214</v>
      </c>
    </row>
    <row r="49" spans="1:2" x14ac:dyDescent="0.3">
      <c r="A49" s="5" t="s">
        <v>230</v>
      </c>
      <c r="B49" s="14">
        <v>128443518</v>
      </c>
    </row>
  </sheetData>
  <phoneticPr fontId="1" type="noConversion"/>
  <conditionalFormatting sqref="H6">
    <cfRule type="expression" dxfId="1" priority="3">
      <formula>"&gt;=20%"</formula>
    </cfRule>
    <cfRule type="expression" dxfId="2" priority="2">
      <formula>"between 10% and 19.99%"</formula>
    </cfRule>
    <cfRule type="expression" dxfId="0" priority="1">
      <formula>"&gt;10%"</formula>
    </cfRule>
  </conditionalFormatting>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AF9CA-6C2B-4B6F-BD3C-B428202CCCC2}">
  <sheetPr>
    <pageSetUpPr autoPageBreaks="0"/>
  </sheetPr>
  <dimension ref="A2:AI136"/>
  <sheetViews>
    <sheetView tabSelected="1" zoomScale="40" zoomScaleNormal="40" workbookViewId="0">
      <selection activeCell="Z2" sqref="Z2"/>
    </sheetView>
  </sheetViews>
  <sheetFormatPr defaultRowHeight="14.4" x14ac:dyDescent="0.3"/>
  <cols>
    <col min="26" max="26" width="12.109375" customWidth="1"/>
    <col min="30" max="30" width="11.33203125" bestFit="1" customWidth="1"/>
    <col min="31" max="31" width="16.88671875" bestFit="1" customWidth="1"/>
    <col min="32" max="32" width="11.109375" bestFit="1" customWidth="1"/>
  </cols>
  <sheetData>
    <row r="2" spans="1:35" x14ac:dyDescent="0.3">
      <c r="A2" s="16"/>
      <c r="B2" s="16"/>
      <c r="C2" s="16"/>
      <c r="D2" s="16"/>
      <c r="E2" s="16"/>
      <c r="F2" s="16"/>
      <c r="G2" s="16"/>
      <c r="H2" s="16"/>
      <c r="I2" s="16"/>
      <c r="J2" s="16"/>
      <c r="K2" s="16"/>
      <c r="L2" s="16"/>
      <c r="M2" s="16"/>
      <c r="N2" s="16"/>
      <c r="O2" s="16"/>
      <c r="P2" s="16"/>
      <c r="Q2" s="16"/>
      <c r="R2" s="16"/>
      <c r="S2" s="16"/>
      <c r="T2" s="16"/>
      <c r="U2" s="16"/>
      <c r="V2" s="16"/>
      <c r="W2" s="16"/>
      <c r="X2" s="16"/>
    </row>
    <row r="3" spans="1:35" ht="14.4" customHeight="1" x14ac:dyDescent="0.3">
      <c r="A3" s="16"/>
      <c r="B3" s="16"/>
      <c r="C3" s="16"/>
      <c r="D3" s="16"/>
      <c r="E3" s="16"/>
      <c r="F3" s="16"/>
      <c r="G3" s="16"/>
      <c r="H3" s="16"/>
      <c r="I3" s="16"/>
      <c r="J3" s="16"/>
      <c r="K3" s="16"/>
      <c r="L3" s="16"/>
      <c r="M3" s="16"/>
      <c r="N3" s="16"/>
      <c r="O3" s="16"/>
      <c r="P3" s="16"/>
      <c r="Q3" s="16"/>
      <c r="R3" s="16"/>
      <c r="S3" s="16"/>
      <c r="T3" s="16"/>
      <c r="U3" s="16"/>
      <c r="V3" s="16"/>
      <c r="W3" s="16"/>
      <c r="X3" s="16"/>
      <c r="Y3" s="1"/>
      <c r="Z3" s="1"/>
      <c r="AA3" s="1"/>
      <c r="AB3" s="1"/>
      <c r="AC3" s="1"/>
      <c r="AD3" s="1"/>
      <c r="AE3" s="1"/>
    </row>
    <row r="4" spans="1:35" x14ac:dyDescent="0.3">
      <c r="A4" s="16"/>
      <c r="B4" s="16"/>
      <c r="C4" s="16"/>
      <c r="D4" s="16"/>
      <c r="E4" s="16"/>
      <c r="F4" s="16"/>
      <c r="G4" s="16"/>
      <c r="H4" s="16"/>
      <c r="I4" s="16"/>
      <c r="J4" s="16"/>
      <c r="K4" s="16"/>
      <c r="L4" s="16"/>
      <c r="M4" s="16"/>
      <c r="N4" s="16"/>
      <c r="O4" s="16"/>
      <c r="P4" s="16"/>
      <c r="Q4" s="16"/>
      <c r="R4" s="16"/>
      <c r="S4" s="16"/>
      <c r="T4" s="16"/>
      <c r="U4" s="16"/>
      <c r="V4" s="16"/>
      <c r="W4" s="16"/>
      <c r="X4" s="16"/>
      <c r="Y4" s="1"/>
      <c r="Z4" s="1"/>
      <c r="AA4" s="1"/>
      <c r="AB4" s="1"/>
      <c r="AC4" s="1"/>
      <c r="AD4" s="1"/>
      <c r="AE4" s="1"/>
    </row>
    <row r="5" spans="1:35" x14ac:dyDescent="0.3">
      <c r="A5" s="16"/>
      <c r="B5" s="16"/>
      <c r="C5" s="16"/>
      <c r="D5" s="16"/>
      <c r="E5" s="16"/>
      <c r="F5" s="16"/>
      <c r="G5" s="16"/>
      <c r="H5" s="16"/>
      <c r="I5" s="16"/>
      <c r="J5" s="16"/>
      <c r="K5" s="16"/>
      <c r="L5" s="16"/>
      <c r="M5" s="16"/>
      <c r="N5" s="16"/>
      <c r="O5" s="17"/>
      <c r="P5" s="16"/>
      <c r="Q5" s="16"/>
      <c r="R5" s="16"/>
      <c r="S5" s="16"/>
      <c r="T5" s="16"/>
      <c r="U5" s="16"/>
      <c r="V5" s="16"/>
      <c r="W5" s="16"/>
      <c r="X5" s="16"/>
      <c r="Y5" s="1"/>
      <c r="Z5" s="1"/>
      <c r="AA5" s="1"/>
      <c r="AB5" s="1"/>
      <c r="AC5" s="1"/>
      <c r="AD5" s="1"/>
      <c r="AE5" s="1"/>
    </row>
    <row r="6" spans="1:35" x14ac:dyDescent="0.3">
      <c r="A6" s="16"/>
      <c r="B6" s="16"/>
      <c r="C6" s="16"/>
      <c r="D6" s="16"/>
      <c r="E6" s="16"/>
      <c r="F6" s="16"/>
      <c r="G6" s="16"/>
      <c r="H6" s="16"/>
      <c r="I6" s="16"/>
      <c r="J6" s="16"/>
      <c r="K6" s="16"/>
      <c r="L6" s="16"/>
      <c r="M6" s="16"/>
      <c r="N6" s="16"/>
      <c r="O6" s="16"/>
      <c r="P6" s="16"/>
      <c r="Q6" s="16"/>
      <c r="R6" s="16"/>
      <c r="S6" s="16"/>
      <c r="T6" s="16"/>
      <c r="U6" s="16"/>
      <c r="V6" s="16"/>
      <c r="W6" s="16"/>
      <c r="X6" s="16"/>
      <c r="Y6" s="1"/>
      <c r="Z6" s="1"/>
      <c r="AA6" s="1"/>
      <c r="AB6" s="1"/>
      <c r="AC6" s="1"/>
      <c r="AD6" s="1"/>
      <c r="AE6" s="1"/>
    </row>
    <row r="7" spans="1:35" x14ac:dyDescent="0.3">
      <c r="A7" s="16"/>
      <c r="B7" s="16"/>
      <c r="C7" s="16"/>
      <c r="D7" s="16"/>
      <c r="E7" s="16"/>
      <c r="F7" s="16"/>
      <c r="G7" s="16"/>
      <c r="H7" s="16"/>
      <c r="I7" s="16"/>
      <c r="J7" s="16"/>
      <c r="K7" s="16"/>
      <c r="L7" s="16"/>
      <c r="M7" s="16"/>
      <c r="N7" s="16"/>
      <c r="O7" s="16"/>
      <c r="P7" s="16"/>
      <c r="Q7" s="16"/>
      <c r="R7" s="16"/>
      <c r="S7" s="16"/>
      <c r="T7" s="16"/>
      <c r="U7" s="16"/>
      <c r="V7" s="16"/>
      <c r="W7" s="16"/>
      <c r="X7" s="16"/>
      <c r="Y7" s="1"/>
      <c r="Z7" s="1"/>
      <c r="AA7" s="1"/>
      <c r="AB7" s="1"/>
      <c r="AC7" s="1"/>
      <c r="AD7" s="1"/>
      <c r="AE7" s="1"/>
    </row>
    <row r="8" spans="1:35" x14ac:dyDescent="0.3">
      <c r="A8" s="16"/>
      <c r="B8" s="16"/>
      <c r="C8" s="16"/>
      <c r="D8" s="16"/>
      <c r="E8" s="16"/>
      <c r="F8" s="16"/>
      <c r="G8" s="16"/>
      <c r="H8" s="16"/>
      <c r="I8" s="16"/>
      <c r="J8" s="16"/>
      <c r="K8" s="16"/>
      <c r="L8" s="16"/>
      <c r="M8" s="16"/>
      <c r="N8" s="16"/>
      <c r="O8" s="16"/>
      <c r="P8" s="16"/>
      <c r="Q8" s="16"/>
      <c r="R8" s="16"/>
      <c r="S8" s="16"/>
      <c r="T8" s="16"/>
      <c r="U8" s="16"/>
      <c r="V8" s="16"/>
      <c r="W8" s="16"/>
      <c r="X8" s="16"/>
      <c r="Y8" s="1"/>
      <c r="Z8" s="1"/>
      <c r="AA8" s="1"/>
      <c r="AB8" s="1"/>
      <c r="AC8" s="1"/>
      <c r="AD8" s="1"/>
      <c r="AE8" s="1"/>
    </row>
    <row r="9" spans="1:35" x14ac:dyDescent="0.3">
      <c r="A9" s="16"/>
      <c r="B9" s="16"/>
      <c r="C9" s="16"/>
      <c r="D9" s="16"/>
      <c r="E9" s="16"/>
      <c r="F9" s="16"/>
      <c r="G9" s="16"/>
      <c r="H9" s="16"/>
      <c r="I9" s="16"/>
      <c r="J9" s="16"/>
      <c r="K9" s="16"/>
      <c r="L9" s="16"/>
      <c r="M9" s="16"/>
      <c r="N9" s="16"/>
      <c r="O9" s="16"/>
      <c r="P9" s="16"/>
      <c r="Q9" s="16"/>
      <c r="R9" s="16"/>
      <c r="S9" s="16"/>
      <c r="T9" s="16"/>
      <c r="U9" s="16"/>
      <c r="V9" s="16"/>
      <c r="W9" s="16"/>
      <c r="X9" s="16"/>
      <c r="AA9" s="1"/>
      <c r="AB9" s="1"/>
      <c r="AC9" s="1"/>
      <c r="AD9" s="1"/>
      <c r="AE9" s="1"/>
    </row>
    <row r="10" spans="1:35"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AA10" s="1"/>
      <c r="AB10" s="1"/>
      <c r="AC10" s="1"/>
      <c r="AD10" s="1"/>
      <c r="AE10" s="1"/>
    </row>
    <row r="11" spans="1:35"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AA11" s="1"/>
      <c r="AB11" s="1"/>
      <c r="AC11" s="1"/>
      <c r="AD11" s="1"/>
      <c r="AE11" s="1"/>
    </row>
    <row r="12" spans="1:35"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Z12" s="1"/>
      <c r="AA12" s="1"/>
      <c r="AB12" s="1"/>
      <c r="AC12" s="1"/>
      <c r="AD12" s="1"/>
      <c r="AE12" s="1"/>
    </row>
    <row r="13" spans="1:35"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c r="Y13" s="1"/>
      <c r="Z13" s="1"/>
      <c r="AA13" s="1"/>
      <c r="AB13" s="1"/>
      <c r="AC13" s="1"/>
      <c r="AD13" s="1"/>
      <c r="AE13" s="1"/>
      <c r="AF13" s="1"/>
      <c r="AG13" s="1"/>
      <c r="AH13" s="1"/>
      <c r="AI13" s="1"/>
    </row>
    <row r="14" spans="1:35"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c r="Y14" s="1"/>
      <c r="Z14" s="1"/>
      <c r="AA14" s="1"/>
      <c r="AB14" s="1"/>
      <c r="AC14" s="1"/>
      <c r="AD14" s="1"/>
      <c r="AE14" s="1"/>
      <c r="AF14" s="1"/>
      <c r="AG14" s="1"/>
      <c r="AH14" s="1"/>
      <c r="AI14" s="1"/>
    </row>
    <row r="15" spans="1:35"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
      <c r="Z15" s="1"/>
      <c r="AA15" s="1"/>
      <c r="AB15" s="1"/>
      <c r="AC15" s="1"/>
      <c r="AD15" s="1"/>
      <c r="AE15" s="1"/>
      <c r="AF15" s="1"/>
      <c r="AG15" s="1"/>
      <c r="AH15" s="1"/>
      <c r="AI15" s="1"/>
    </row>
    <row r="16" spans="1:35"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
      <c r="Z16" s="1"/>
      <c r="AA16" s="1"/>
      <c r="AB16" s="1"/>
      <c r="AC16" s="1"/>
      <c r="AD16" s="1"/>
      <c r="AE16" s="1"/>
      <c r="AF16" s="1"/>
      <c r="AG16" s="1"/>
      <c r="AH16" s="1"/>
      <c r="AI16" s="1"/>
    </row>
    <row r="17" spans="1:35"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1"/>
      <c r="Z17" s="1"/>
      <c r="AA17" s="1"/>
      <c r="AB17" s="1"/>
      <c r="AC17" s="1"/>
      <c r="AD17" s="1"/>
      <c r="AE17" s="1"/>
      <c r="AF17" s="1"/>
      <c r="AG17" s="1"/>
      <c r="AH17" s="1"/>
      <c r="AI17" s="1"/>
    </row>
    <row r="18" spans="1:35"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
      <c r="Z18" s="1"/>
      <c r="AA18" s="1"/>
      <c r="AB18" s="1"/>
      <c r="AC18" s="1"/>
      <c r="AD18" s="1"/>
      <c r="AE18" s="1"/>
      <c r="AF18" s="1"/>
      <c r="AG18" s="1"/>
      <c r="AH18" s="1"/>
      <c r="AI18" s="1"/>
    </row>
    <row r="19" spans="1:35"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
      <c r="Z19" s="1"/>
      <c r="AA19" s="1"/>
      <c r="AB19" s="1"/>
      <c r="AC19" s="1"/>
      <c r="AD19" s="1"/>
      <c r="AE19" s="1"/>
      <c r="AF19" s="1"/>
      <c r="AG19" s="1"/>
      <c r="AH19" s="1"/>
      <c r="AI19" s="1"/>
    </row>
    <row r="20" spans="1:35"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
      <c r="Z20" s="1"/>
      <c r="AA20" s="1"/>
      <c r="AB20" s="1"/>
      <c r="AC20" s="1"/>
      <c r="AD20" s="1"/>
      <c r="AE20" s="1"/>
      <c r="AF20" s="1"/>
      <c r="AG20" s="1"/>
      <c r="AH20" s="1"/>
      <c r="AI20" s="1"/>
    </row>
    <row r="21" spans="1:35"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
      <c r="Z21" s="1" t="s">
        <v>1097</v>
      </c>
      <c r="AA21" s="1"/>
      <c r="AB21" s="1"/>
      <c r="AC21" s="1"/>
      <c r="AD21" s="1"/>
      <c r="AE21" s="1"/>
      <c r="AF21" s="1"/>
      <c r="AG21" s="1"/>
      <c r="AH21" s="1"/>
      <c r="AI21" s="1"/>
    </row>
    <row r="22" spans="1:35"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
      <c r="Z22" s="1"/>
      <c r="AA22" s="1"/>
      <c r="AB22" s="1"/>
      <c r="AC22" s="1"/>
      <c r="AD22" s="1"/>
      <c r="AE22" s="1"/>
      <c r="AF22" s="1"/>
      <c r="AG22" s="1"/>
      <c r="AH22" s="1"/>
      <c r="AI22" s="1"/>
    </row>
    <row r="23" spans="1:35"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
      <c r="Z23" s="1"/>
      <c r="AA23" s="1"/>
      <c r="AB23" s="1"/>
      <c r="AC23" s="1"/>
      <c r="AD23" s="1"/>
      <c r="AE23" s="1"/>
      <c r="AF23" s="1"/>
      <c r="AG23" s="1"/>
      <c r="AH23" s="1"/>
      <c r="AI23" s="1"/>
    </row>
    <row r="24" spans="1:35"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
      <c r="Z24" s="1"/>
      <c r="AA24" s="1"/>
      <c r="AB24" s="1"/>
      <c r="AC24" s="1"/>
      <c r="AD24" s="1"/>
      <c r="AE24" s="1"/>
      <c r="AF24" s="1"/>
      <c r="AG24" s="1"/>
      <c r="AH24" s="1"/>
      <c r="AI24" s="1"/>
    </row>
    <row r="25" spans="1:35"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
      <c r="Z25" s="1"/>
      <c r="AA25" s="1"/>
      <c r="AB25" s="1"/>
      <c r="AC25" s="1"/>
      <c r="AD25" s="1"/>
      <c r="AE25" s="1"/>
      <c r="AF25" s="1"/>
      <c r="AG25" s="1"/>
      <c r="AH25" s="1"/>
      <c r="AI25" s="1"/>
    </row>
    <row r="26" spans="1:35"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
      <c r="Z26" s="1"/>
      <c r="AA26" s="1"/>
      <c r="AB26" s="1"/>
      <c r="AC26" s="1"/>
      <c r="AD26" s="1"/>
      <c r="AE26" s="1"/>
      <c r="AF26" s="1"/>
      <c r="AG26" s="1"/>
      <c r="AH26" s="1"/>
      <c r="AI26" s="1"/>
    </row>
    <row r="27" spans="1:35"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
      <c r="Z27" s="1"/>
      <c r="AA27" s="1"/>
      <c r="AB27" s="18"/>
      <c r="AC27" s="1"/>
      <c r="AD27" s="1"/>
      <c r="AE27" s="1"/>
      <c r="AF27" s="1"/>
      <c r="AG27" s="1"/>
      <c r="AH27" s="1"/>
      <c r="AI27" s="1"/>
    </row>
    <row r="28" spans="1:35"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
      <c r="Z28" s="1"/>
      <c r="AA28" s="1"/>
      <c r="AB28" s="1"/>
      <c r="AC28" s="1"/>
      <c r="AD28" s="1"/>
      <c r="AE28" s="1"/>
      <c r="AF28" s="1"/>
      <c r="AG28" s="1"/>
      <c r="AH28" s="1"/>
      <c r="AI28" s="1"/>
    </row>
    <row r="29" spans="1:35"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
      <c r="Z29" s="1"/>
      <c r="AA29" s="1"/>
      <c r="AB29" s="1"/>
      <c r="AC29" s="1"/>
      <c r="AD29" s="1"/>
      <c r="AE29" s="1"/>
      <c r="AF29" s="1"/>
      <c r="AG29" s="1"/>
      <c r="AH29" s="1"/>
      <c r="AI29" s="1"/>
    </row>
    <row r="30" spans="1:35"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
      <c r="Z30" s="1"/>
      <c r="AA30" s="1"/>
      <c r="AB30" s="1"/>
      <c r="AC30" s="1"/>
      <c r="AD30" s="1"/>
      <c r="AE30" s="1"/>
      <c r="AF30" s="1"/>
      <c r="AG30" s="1"/>
      <c r="AH30" s="1"/>
      <c r="AI30" s="1"/>
    </row>
    <row r="31" spans="1:35"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1"/>
      <c r="Z31" s="1"/>
      <c r="AA31" s="1"/>
      <c r="AB31" s="1"/>
      <c r="AC31" s="1"/>
      <c r="AD31" s="1"/>
      <c r="AE31" s="1"/>
      <c r="AF31" s="1"/>
      <c r="AG31" s="1"/>
      <c r="AH31" s="1"/>
      <c r="AI31" s="1"/>
    </row>
    <row r="32" spans="1:35"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
      <c r="Z32" s="1"/>
      <c r="AA32" s="1"/>
      <c r="AB32" s="1"/>
      <c r="AC32" s="1"/>
      <c r="AD32" s="1"/>
      <c r="AE32" s="1"/>
      <c r="AF32" s="1"/>
      <c r="AG32" s="1"/>
      <c r="AH32" s="1"/>
      <c r="AI32" s="1"/>
    </row>
    <row r="33" spans="1:35"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
      <c r="Z33" s="1"/>
      <c r="AA33" s="1"/>
      <c r="AB33" s="1"/>
      <c r="AC33" s="1"/>
      <c r="AD33" s="1"/>
      <c r="AE33" s="1"/>
      <c r="AF33" s="1"/>
      <c r="AG33" s="1"/>
      <c r="AH33" s="1"/>
      <c r="AI33" s="1"/>
    </row>
    <row r="34" spans="1:35"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c r="Y34" s="1"/>
      <c r="Z34" s="1"/>
      <c r="AA34" s="1"/>
      <c r="AB34" s="1"/>
      <c r="AC34" s="1"/>
      <c r="AD34" s="1"/>
      <c r="AE34" s="1"/>
      <c r="AF34" s="1"/>
      <c r="AG34" s="1"/>
      <c r="AH34" s="1"/>
      <c r="AI34" s="1"/>
    </row>
    <row r="35" spans="1:35"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1"/>
      <c r="Z35" s="1"/>
      <c r="AA35" s="1"/>
      <c r="AB35" s="1"/>
      <c r="AC35" s="1"/>
      <c r="AD35" s="1"/>
      <c r="AE35" s="1"/>
      <c r="AF35" s="1"/>
      <c r="AG35" s="1"/>
      <c r="AH35" s="1"/>
      <c r="AI35" s="1"/>
    </row>
    <row r="36" spans="1:35"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1"/>
      <c r="Z36" s="1"/>
      <c r="AA36" s="1"/>
      <c r="AB36" s="1"/>
      <c r="AC36" s="1"/>
      <c r="AD36" s="1"/>
      <c r="AE36" s="1"/>
      <c r="AF36" s="1"/>
      <c r="AG36" s="1"/>
      <c r="AH36" s="1"/>
      <c r="AI36" s="1"/>
    </row>
    <row r="37" spans="1:35"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
      <c r="Z37" s="1"/>
      <c r="AA37" s="1"/>
      <c r="AB37" s="1"/>
      <c r="AC37" s="1"/>
      <c r="AD37" s="1"/>
      <c r="AE37" s="1"/>
      <c r="AF37" s="1"/>
      <c r="AG37" s="1"/>
      <c r="AH37" s="1"/>
      <c r="AI37" s="1"/>
    </row>
    <row r="38" spans="1:35"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
      <c r="Z38" s="1"/>
      <c r="AA38" s="1"/>
      <c r="AB38" s="1"/>
      <c r="AC38" s="1"/>
      <c r="AD38" s="1"/>
      <c r="AE38" s="1"/>
      <c r="AF38" s="1"/>
      <c r="AG38" s="1"/>
      <c r="AH38" s="1"/>
      <c r="AI38" s="1"/>
    </row>
    <row r="39" spans="1:35"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
      <c r="Z39" s="1"/>
      <c r="AA39" s="1"/>
      <c r="AB39" s="1"/>
      <c r="AC39" s="1"/>
      <c r="AD39" s="1"/>
      <c r="AE39" s="1"/>
      <c r="AF39" s="1"/>
      <c r="AG39" s="1"/>
      <c r="AH39" s="1"/>
      <c r="AI39" s="1"/>
    </row>
    <row r="40" spans="1:35"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
      <c r="Z40" s="1"/>
      <c r="AA40" s="1"/>
      <c r="AB40" s="1"/>
      <c r="AC40" s="1"/>
      <c r="AD40" s="1"/>
      <c r="AE40" s="1"/>
      <c r="AF40" s="1"/>
      <c r="AG40" s="1"/>
      <c r="AH40" s="1"/>
      <c r="AI40" s="1"/>
    </row>
    <row r="41" spans="1:35"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
      <c r="Z41" s="1"/>
      <c r="AA41" s="1"/>
      <c r="AB41" s="1"/>
      <c r="AC41" s="1"/>
      <c r="AD41" s="1"/>
      <c r="AE41" s="1"/>
      <c r="AF41" s="1"/>
      <c r="AG41" s="1"/>
      <c r="AH41" s="1"/>
      <c r="AI41" s="1"/>
    </row>
    <row r="42" spans="1:35"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
      <c r="Z42" s="1"/>
      <c r="AA42" s="1"/>
      <c r="AB42" s="1"/>
      <c r="AC42" s="1"/>
      <c r="AD42" s="1"/>
      <c r="AE42" s="1"/>
      <c r="AF42" s="1"/>
      <c r="AG42" s="1"/>
      <c r="AH42" s="1"/>
      <c r="AI42" s="1"/>
    </row>
    <row r="43" spans="1:35"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
      <c r="Z43" s="1"/>
      <c r="AA43" s="1"/>
      <c r="AB43" s="1"/>
      <c r="AC43" s="1"/>
      <c r="AD43" s="1"/>
      <c r="AE43" s="1"/>
      <c r="AF43" s="1"/>
      <c r="AG43" s="1"/>
      <c r="AH43" s="1"/>
      <c r="AI43" s="1"/>
    </row>
    <row r="44" spans="1:35"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
      <c r="Z44" s="1"/>
      <c r="AA44" s="1"/>
      <c r="AB44" s="1"/>
      <c r="AC44" s="1"/>
      <c r="AD44" s="1"/>
      <c r="AE44" s="1"/>
      <c r="AF44" s="1"/>
      <c r="AG44" s="1"/>
      <c r="AH44" s="1"/>
      <c r="AI44" s="1"/>
    </row>
    <row r="45" spans="1:35"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
      <c r="Z45" s="1"/>
      <c r="AA45" s="1"/>
      <c r="AB45" s="1"/>
      <c r="AC45" s="1"/>
      <c r="AD45" s="1"/>
      <c r="AE45" s="1"/>
      <c r="AF45" s="1"/>
      <c r="AG45" s="1"/>
      <c r="AH45" s="1"/>
      <c r="AI45" s="1"/>
    </row>
    <row r="46" spans="1:35"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row>
    <row r="47" spans="1:35"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row>
    <row r="48" spans="1:35"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spans="1:35"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spans="1:35"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spans="1:35"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spans="1:35"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spans="1:35"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spans="1:35" x14ac:dyDescent="0.3">
      <c r="Y54" s="1"/>
      <c r="Z54" s="1"/>
      <c r="AA54" s="1"/>
      <c r="AB54" s="1"/>
      <c r="AC54" s="1"/>
      <c r="AD54" s="1"/>
      <c r="AE54" s="1"/>
      <c r="AF54" s="1"/>
      <c r="AG54" s="1"/>
      <c r="AH54" s="1"/>
      <c r="AI54" s="1"/>
    </row>
    <row r="55" spans="1:35" x14ac:dyDescent="0.3">
      <c r="Y55" s="1"/>
      <c r="Z55" s="1"/>
      <c r="AA55" s="1"/>
      <c r="AB55" s="1"/>
      <c r="AC55" s="1"/>
      <c r="AD55" s="1"/>
      <c r="AE55" s="1"/>
      <c r="AF55" s="1"/>
      <c r="AG55" s="1"/>
      <c r="AH55" s="1"/>
      <c r="AI55" s="1"/>
    </row>
    <row r="56" spans="1:35" x14ac:dyDescent="0.3">
      <c r="Y56" s="1"/>
      <c r="Z56" s="1"/>
      <c r="AA56" s="1"/>
      <c r="AB56" s="1"/>
      <c r="AC56" s="1"/>
      <c r="AD56" s="1"/>
      <c r="AE56" s="1"/>
      <c r="AF56" s="1"/>
      <c r="AG56" s="1"/>
      <c r="AH56" s="1"/>
      <c r="AI56" s="1"/>
    </row>
    <row r="57" spans="1:35" x14ac:dyDescent="0.3">
      <c r="Y57" s="1"/>
      <c r="Z57" s="1"/>
      <c r="AA57" s="1"/>
      <c r="AB57" s="1"/>
      <c r="AC57" s="1"/>
      <c r="AD57" s="1"/>
      <c r="AE57" s="1"/>
      <c r="AF57" s="1"/>
      <c r="AG57" s="1"/>
      <c r="AH57" s="1"/>
      <c r="AI57" s="1"/>
    </row>
    <row r="58" spans="1:35" x14ac:dyDescent="0.3">
      <c r="Y58" s="1"/>
      <c r="Z58" s="1"/>
      <c r="AA58" s="1"/>
      <c r="AB58" s="1"/>
      <c r="AC58" s="1"/>
      <c r="AD58" s="1"/>
      <c r="AE58" s="1"/>
      <c r="AF58" s="1"/>
      <c r="AG58" s="1"/>
      <c r="AH58" s="1"/>
      <c r="AI58" s="1"/>
    </row>
    <row r="59" spans="1:35" x14ac:dyDescent="0.3">
      <c r="Y59" s="1"/>
      <c r="Z59" s="1"/>
      <c r="AA59" s="1"/>
      <c r="AB59" s="1"/>
      <c r="AC59" s="1"/>
      <c r="AD59" s="1"/>
      <c r="AE59" s="1"/>
      <c r="AF59" s="1"/>
      <c r="AG59" s="1"/>
      <c r="AH59" s="1"/>
      <c r="AI59" s="1"/>
    </row>
    <row r="60" spans="1:35" x14ac:dyDescent="0.3">
      <c r="Y60" s="1"/>
      <c r="Z60" s="1"/>
      <c r="AA60" s="1"/>
      <c r="AB60" s="1"/>
      <c r="AC60" s="1"/>
      <c r="AD60" s="1"/>
      <c r="AE60" s="1"/>
      <c r="AF60" s="1"/>
      <c r="AG60" s="1"/>
      <c r="AH60" s="1"/>
      <c r="AI60" s="1"/>
    </row>
    <row r="61" spans="1:35" x14ac:dyDescent="0.3">
      <c r="Y61" s="1"/>
      <c r="Z61" s="1"/>
      <c r="AA61" s="1"/>
      <c r="AB61" s="1"/>
      <c r="AC61" s="1"/>
      <c r="AD61" s="1"/>
      <c r="AE61" s="1"/>
      <c r="AF61" s="1"/>
      <c r="AG61" s="1"/>
      <c r="AH61" s="1"/>
      <c r="AI61" s="1"/>
    </row>
    <row r="62" spans="1:35" x14ac:dyDescent="0.3">
      <c r="Y62" s="1"/>
      <c r="Z62" s="1"/>
      <c r="AA62" s="1"/>
      <c r="AB62" s="1"/>
      <c r="AC62" s="1"/>
      <c r="AD62" s="1"/>
      <c r="AE62" s="1"/>
      <c r="AF62" s="1"/>
      <c r="AG62" s="1"/>
      <c r="AH62" s="1"/>
      <c r="AI62" s="1"/>
    </row>
    <row r="63" spans="1:35" x14ac:dyDescent="0.3">
      <c r="Y63" s="1"/>
      <c r="Z63" s="1"/>
      <c r="AA63" s="1"/>
      <c r="AB63" s="1"/>
      <c r="AC63" s="1"/>
      <c r="AD63" s="1"/>
      <c r="AE63" s="1"/>
      <c r="AF63" s="1"/>
      <c r="AG63" s="1"/>
      <c r="AH63" s="1"/>
      <c r="AI63" s="1"/>
    </row>
    <row r="64" spans="1:35" x14ac:dyDescent="0.3">
      <c r="Y64" s="1"/>
      <c r="Z64" s="1"/>
      <c r="AA64" s="1"/>
      <c r="AB64" s="1"/>
      <c r="AC64" s="1"/>
      <c r="AD64" s="1"/>
      <c r="AE64" s="1"/>
      <c r="AF64" s="1"/>
      <c r="AG64" s="1"/>
      <c r="AH64" s="1"/>
      <c r="AI64" s="1"/>
    </row>
    <row r="65" spans="25:35" x14ac:dyDescent="0.3">
      <c r="Y65" s="1"/>
      <c r="Z65" s="1"/>
      <c r="AA65" s="1"/>
      <c r="AB65" s="1"/>
      <c r="AC65" s="1"/>
      <c r="AD65" s="1"/>
      <c r="AE65" s="1"/>
      <c r="AF65" s="1"/>
      <c r="AG65" s="1"/>
      <c r="AH65" s="1"/>
      <c r="AI65" s="1"/>
    </row>
    <row r="66" spans="25:35" x14ac:dyDescent="0.3">
      <c r="Y66" s="1"/>
      <c r="Z66" s="1"/>
      <c r="AA66" s="1"/>
      <c r="AB66" s="1"/>
      <c r="AC66" s="1"/>
      <c r="AD66" s="1"/>
      <c r="AE66" s="1"/>
      <c r="AF66" s="1"/>
      <c r="AG66" s="1"/>
      <c r="AH66" s="1"/>
      <c r="AI66" s="1"/>
    </row>
    <row r="67" spans="25:35" x14ac:dyDescent="0.3">
      <c r="Y67" s="1"/>
      <c r="Z67" s="1"/>
      <c r="AA67" s="1"/>
      <c r="AB67" s="1"/>
      <c r="AC67" s="1"/>
      <c r="AD67" s="1"/>
      <c r="AE67" s="1"/>
      <c r="AF67" s="1"/>
      <c r="AG67" s="1"/>
      <c r="AH67" s="1"/>
      <c r="AI67" s="1"/>
    </row>
    <row r="68" spans="25:35" x14ac:dyDescent="0.3">
      <c r="Y68" s="1"/>
      <c r="Z68" s="1"/>
      <c r="AA68" s="1"/>
      <c r="AB68" s="1"/>
      <c r="AC68" s="1"/>
      <c r="AD68" s="1"/>
      <c r="AE68" s="1"/>
      <c r="AF68" s="1"/>
      <c r="AG68" s="1"/>
      <c r="AH68" s="1"/>
      <c r="AI68" s="1"/>
    </row>
    <row r="69" spans="25:35" x14ac:dyDescent="0.3">
      <c r="Y69" s="1"/>
      <c r="Z69" s="1"/>
      <c r="AA69" s="1"/>
      <c r="AB69" s="1"/>
      <c r="AC69" s="1"/>
      <c r="AD69" s="1"/>
      <c r="AE69" s="1"/>
      <c r="AF69" s="1"/>
      <c r="AG69" s="1"/>
      <c r="AH69" s="1"/>
      <c r="AI69" s="1"/>
    </row>
    <row r="70" spans="25:35" x14ac:dyDescent="0.3">
      <c r="Y70" s="1"/>
      <c r="Z70" s="1"/>
      <c r="AA70" s="1"/>
      <c r="AB70" s="1"/>
      <c r="AC70" s="1"/>
      <c r="AD70" s="1"/>
      <c r="AE70" s="1"/>
      <c r="AF70" s="1"/>
      <c r="AG70" s="1"/>
      <c r="AH70" s="1"/>
      <c r="AI70" s="1"/>
    </row>
    <row r="71" spans="25:35" x14ac:dyDescent="0.3">
      <c r="Y71" s="1"/>
      <c r="Z71" s="1"/>
      <c r="AA71" s="1"/>
      <c r="AB71" s="1"/>
      <c r="AC71" s="1"/>
      <c r="AD71" s="1"/>
      <c r="AE71" s="1"/>
      <c r="AF71" s="1"/>
      <c r="AG71" s="1"/>
      <c r="AH71" s="1"/>
      <c r="AI71" s="1"/>
    </row>
    <row r="72" spans="25:35" x14ac:dyDescent="0.3">
      <c r="Y72" s="1"/>
      <c r="Z72" s="1"/>
      <c r="AA72" s="1"/>
      <c r="AB72" s="1"/>
      <c r="AC72" s="1"/>
      <c r="AD72" s="1"/>
      <c r="AE72" s="1"/>
      <c r="AF72" s="1"/>
      <c r="AG72" s="1"/>
      <c r="AH72" s="1"/>
      <c r="AI72" s="1"/>
    </row>
    <row r="73" spans="25:35" x14ac:dyDescent="0.3">
      <c r="Y73" s="1"/>
      <c r="Z73" s="1"/>
      <c r="AA73" s="1"/>
      <c r="AB73" s="1"/>
      <c r="AC73" s="1"/>
      <c r="AD73" s="1"/>
      <c r="AE73" s="1"/>
      <c r="AF73" s="1"/>
      <c r="AG73" s="1"/>
      <c r="AH73" s="1"/>
      <c r="AI73" s="1"/>
    </row>
    <row r="74" spans="25:35" x14ac:dyDescent="0.3">
      <c r="Y74" s="1"/>
      <c r="Z74" s="1"/>
      <c r="AA74" s="1"/>
      <c r="AB74" s="1"/>
      <c r="AC74" s="1"/>
      <c r="AD74" s="1"/>
      <c r="AE74" s="1"/>
      <c r="AF74" s="1"/>
      <c r="AG74" s="1"/>
      <c r="AH74" s="1"/>
      <c r="AI74" s="1"/>
    </row>
    <row r="75" spans="25:35" x14ac:dyDescent="0.3">
      <c r="Y75" s="1"/>
      <c r="Z75" s="1"/>
      <c r="AA75" s="1"/>
      <c r="AB75" s="1"/>
      <c r="AC75" s="1"/>
      <c r="AD75" s="1"/>
      <c r="AE75" s="1"/>
      <c r="AF75" s="1"/>
      <c r="AG75" s="1"/>
      <c r="AH75" s="1"/>
      <c r="AI75" s="1"/>
    </row>
    <row r="76" spans="25:35" x14ac:dyDescent="0.3">
      <c r="Y76" s="1"/>
      <c r="Z76" s="1"/>
      <c r="AA76" s="1"/>
      <c r="AB76" s="1"/>
      <c r="AC76" s="1"/>
      <c r="AD76" s="1"/>
      <c r="AE76" s="1"/>
      <c r="AF76" s="1"/>
      <c r="AG76" s="1"/>
      <c r="AH76" s="1"/>
      <c r="AI76" s="1"/>
    </row>
    <row r="77" spans="25:35" x14ac:dyDescent="0.3">
      <c r="Y77" s="1"/>
      <c r="Z77" s="1"/>
      <c r="AA77" s="1"/>
      <c r="AB77" s="1"/>
      <c r="AC77" s="1"/>
      <c r="AD77" s="1"/>
      <c r="AE77" s="1"/>
      <c r="AF77" s="1"/>
      <c r="AG77" s="1"/>
      <c r="AH77" s="1"/>
      <c r="AI77" s="1"/>
    </row>
    <row r="78" spans="25:35" x14ac:dyDescent="0.3">
      <c r="Y78" s="1"/>
      <c r="Z78" s="1"/>
      <c r="AA78" s="1"/>
      <c r="AB78" s="1"/>
      <c r="AC78" s="1"/>
      <c r="AD78" s="1"/>
      <c r="AE78" s="1"/>
      <c r="AF78" s="1"/>
      <c r="AG78" s="1"/>
      <c r="AH78" s="1"/>
      <c r="AI78" s="1"/>
    </row>
    <row r="79" spans="25:35" x14ac:dyDescent="0.3">
      <c r="Y79" s="1"/>
      <c r="Z79" s="1"/>
      <c r="AA79" s="1"/>
      <c r="AB79" s="1"/>
      <c r="AC79" s="1"/>
      <c r="AD79" s="1"/>
      <c r="AE79" s="1"/>
      <c r="AF79" s="1"/>
      <c r="AG79" s="1"/>
      <c r="AH79" s="1"/>
      <c r="AI79" s="1"/>
    </row>
    <row r="80" spans="25:35" x14ac:dyDescent="0.3">
      <c r="Y80" s="1"/>
      <c r="Z80" s="1"/>
      <c r="AA80" s="1"/>
      <c r="AB80" s="1"/>
      <c r="AC80" s="1"/>
      <c r="AD80" s="1"/>
      <c r="AE80" s="1"/>
      <c r="AF80" s="1"/>
      <c r="AG80" s="1"/>
      <c r="AH80" s="1"/>
      <c r="AI80" s="1"/>
    </row>
    <row r="81" spans="25:35" x14ac:dyDescent="0.3">
      <c r="Y81" s="1"/>
      <c r="Z81" s="1"/>
      <c r="AA81" s="1"/>
      <c r="AB81" s="1"/>
      <c r="AC81" s="1"/>
      <c r="AD81" s="1"/>
      <c r="AE81" s="1"/>
      <c r="AF81" s="1"/>
      <c r="AG81" s="1"/>
      <c r="AH81" s="1"/>
      <c r="AI81" s="1"/>
    </row>
    <row r="82" spans="25:35" x14ac:dyDescent="0.3">
      <c r="Y82" s="1"/>
      <c r="Z82" s="1"/>
      <c r="AA82" s="1"/>
      <c r="AB82" s="1"/>
      <c r="AC82" s="1"/>
      <c r="AD82" s="1"/>
      <c r="AE82" s="1"/>
      <c r="AF82" s="1"/>
      <c r="AG82" s="1"/>
      <c r="AH82" s="1"/>
      <c r="AI82" s="1"/>
    </row>
    <row r="83" spans="25:35" x14ac:dyDescent="0.3">
      <c r="Y83" s="1"/>
      <c r="Z83" s="1"/>
      <c r="AA83" s="1"/>
      <c r="AB83" s="1"/>
      <c r="AC83" s="1"/>
      <c r="AD83" s="1"/>
      <c r="AE83" s="1"/>
      <c r="AF83" s="1"/>
      <c r="AG83" s="1"/>
      <c r="AH83" s="1"/>
      <c r="AI83" s="1"/>
    </row>
    <row r="84" spans="25:35" x14ac:dyDescent="0.3">
      <c r="Y84" s="1"/>
      <c r="Z84" s="1"/>
      <c r="AA84" s="1"/>
      <c r="AB84" s="1"/>
      <c r="AC84" s="1"/>
      <c r="AD84" s="1"/>
      <c r="AE84" s="1"/>
      <c r="AF84" s="1"/>
      <c r="AG84" s="1"/>
      <c r="AH84" s="1"/>
      <c r="AI84" s="1"/>
    </row>
    <row r="85" spans="25:35" x14ac:dyDescent="0.3">
      <c r="Y85" s="1"/>
      <c r="Z85" s="1"/>
      <c r="AA85" s="1"/>
      <c r="AB85" s="1"/>
      <c r="AC85" s="1"/>
      <c r="AD85" s="1"/>
      <c r="AE85" s="1"/>
      <c r="AF85" s="1"/>
      <c r="AG85" s="1"/>
      <c r="AH85" s="1"/>
      <c r="AI85" s="1"/>
    </row>
    <row r="86" spans="25:35" x14ac:dyDescent="0.3">
      <c r="Y86" s="1"/>
      <c r="Z86" s="1"/>
      <c r="AA86" s="1"/>
      <c r="AB86" s="1"/>
      <c r="AC86" s="1"/>
      <c r="AD86" s="1"/>
      <c r="AE86" s="1"/>
      <c r="AF86" s="1"/>
      <c r="AG86" s="1"/>
      <c r="AH86" s="1"/>
      <c r="AI86" s="1"/>
    </row>
    <row r="87" spans="25:35" x14ac:dyDescent="0.3">
      <c r="Y87" s="1"/>
      <c r="Z87" s="1"/>
      <c r="AA87" s="1"/>
      <c r="AB87" s="1"/>
      <c r="AC87" s="1"/>
      <c r="AD87" s="1"/>
      <c r="AE87" s="1"/>
      <c r="AF87" s="1"/>
      <c r="AG87" s="1"/>
      <c r="AH87" s="1"/>
      <c r="AI87" s="1"/>
    </row>
    <row r="88" spans="25:35" x14ac:dyDescent="0.3">
      <c r="Y88" s="1"/>
      <c r="Z88" s="1"/>
      <c r="AA88" s="1"/>
      <c r="AB88" s="1"/>
      <c r="AC88" s="1"/>
      <c r="AD88" s="1"/>
      <c r="AE88" s="1"/>
      <c r="AF88" s="1"/>
      <c r="AG88" s="1"/>
      <c r="AH88" s="1"/>
      <c r="AI88" s="1"/>
    </row>
    <row r="89" spans="25:35" x14ac:dyDescent="0.3">
      <c r="Y89" s="1"/>
      <c r="Z89" s="1"/>
      <c r="AA89" s="1"/>
      <c r="AB89" s="1"/>
      <c r="AC89" s="1"/>
      <c r="AD89" s="1"/>
      <c r="AE89" s="1"/>
      <c r="AF89" s="1"/>
      <c r="AG89" s="1"/>
      <c r="AH89" s="1"/>
      <c r="AI89" s="1"/>
    </row>
    <row r="90" spans="25:35" x14ac:dyDescent="0.3">
      <c r="Y90" s="1"/>
      <c r="Z90" s="1"/>
      <c r="AA90" s="1"/>
      <c r="AB90" s="1"/>
      <c r="AC90" s="1"/>
      <c r="AD90" s="1"/>
      <c r="AE90" s="1"/>
      <c r="AF90" s="1"/>
      <c r="AG90" s="1"/>
      <c r="AH90" s="1"/>
      <c r="AI90" s="1"/>
    </row>
    <row r="91" spans="25:35" x14ac:dyDescent="0.3">
      <c r="Y91" s="1"/>
      <c r="Z91" s="1"/>
      <c r="AA91" s="1"/>
      <c r="AB91" s="1"/>
      <c r="AC91" s="1"/>
      <c r="AD91" s="1"/>
      <c r="AE91" s="1"/>
      <c r="AF91" s="1"/>
      <c r="AG91" s="1"/>
      <c r="AH91" s="1"/>
      <c r="AI91" s="1"/>
    </row>
    <row r="92" spans="25:35" x14ac:dyDescent="0.3">
      <c r="Y92" s="1"/>
      <c r="Z92" s="1"/>
      <c r="AA92" s="1"/>
      <c r="AB92" s="1"/>
      <c r="AC92" s="1"/>
      <c r="AD92" s="1"/>
      <c r="AE92" s="1"/>
      <c r="AF92" s="1"/>
      <c r="AG92" s="1"/>
      <c r="AH92" s="1"/>
      <c r="AI92" s="1"/>
    </row>
    <row r="93" spans="25:35" x14ac:dyDescent="0.3">
      <c r="Y93" s="1"/>
      <c r="Z93" s="1"/>
      <c r="AA93" s="1"/>
      <c r="AB93" s="1"/>
      <c r="AC93" s="1"/>
      <c r="AD93" s="1"/>
      <c r="AE93" s="1"/>
      <c r="AF93" s="1"/>
      <c r="AG93" s="1"/>
      <c r="AH93" s="1"/>
      <c r="AI93" s="1"/>
    </row>
    <row r="94" spans="25:35" x14ac:dyDescent="0.3">
      <c r="Y94" s="1"/>
      <c r="Z94" s="1"/>
      <c r="AA94" s="1"/>
      <c r="AB94" s="1"/>
      <c r="AC94" s="1"/>
      <c r="AD94" s="1"/>
      <c r="AE94" s="1"/>
      <c r="AF94" s="1"/>
      <c r="AG94" s="1"/>
      <c r="AH94" s="1"/>
      <c r="AI94" s="1"/>
    </row>
    <row r="95" spans="25:35" x14ac:dyDescent="0.3">
      <c r="Y95" s="1"/>
      <c r="Z95" s="1"/>
      <c r="AA95" s="1"/>
      <c r="AB95" s="1"/>
      <c r="AC95" s="1"/>
      <c r="AD95" s="1"/>
      <c r="AE95" s="1"/>
      <c r="AF95" s="1"/>
      <c r="AG95" s="1"/>
      <c r="AH95" s="1"/>
      <c r="AI95" s="1"/>
    </row>
    <row r="96" spans="25:35" x14ac:dyDescent="0.3">
      <c r="Y96" s="1"/>
      <c r="Z96" s="1"/>
      <c r="AA96" s="1"/>
      <c r="AB96" s="1"/>
      <c r="AC96" s="1"/>
      <c r="AD96" s="1"/>
      <c r="AE96" s="1"/>
      <c r="AF96" s="1"/>
      <c r="AG96" s="1"/>
      <c r="AH96" s="1"/>
      <c r="AI96" s="1"/>
    </row>
    <row r="97" spans="25:35" x14ac:dyDescent="0.3">
      <c r="Y97" s="1"/>
      <c r="Z97" s="1"/>
      <c r="AA97" s="1"/>
      <c r="AB97" s="1"/>
      <c r="AC97" s="1"/>
      <c r="AD97" s="1"/>
      <c r="AE97" s="1"/>
      <c r="AF97" s="1"/>
      <c r="AG97" s="1"/>
      <c r="AH97" s="1"/>
      <c r="AI97" s="1"/>
    </row>
    <row r="98" spans="25:35" x14ac:dyDescent="0.3">
      <c r="Y98" s="1"/>
      <c r="Z98" s="1"/>
      <c r="AA98" s="1"/>
      <c r="AB98" s="1"/>
      <c r="AC98" s="1"/>
      <c r="AD98" s="1"/>
      <c r="AE98" s="1"/>
      <c r="AF98" s="1"/>
      <c r="AG98" s="1"/>
      <c r="AH98" s="1"/>
      <c r="AI98" s="1"/>
    </row>
    <row r="99" spans="25:35" x14ac:dyDescent="0.3">
      <c r="Y99" s="1"/>
      <c r="Z99" s="1"/>
      <c r="AA99" s="1"/>
      <c r="AB99" s="1"/>
      <c r="AC99" s="1"/>
      <c r="AD99" s="1"/>
      <c r="AE99" s="1"/>
      <c r="AF99" s="1"/>
      <c r="AG99" s="1"/>
      <c r="AH99" s="1"/>
      <c r="AI99" s="1"/>
    </row>
    <row r="100" spans="25:35" x14ac:dyDescent="0.3">
      <c r="Y100" s="1"/>
      <c r="Z100" s="1"/>
      <c r="AA100" s="1"/>
      <c r="AB100" s="1"/>
      <c r="AC100" s="1"/>
      <c r="AD100" s="1"/>
      <c r="AE100" s="1"/>
      <c r="AF100" s="1"/>
      <c r="AG100" s="1"/>
      <c r="AH100" s="1"/>
      <c r="AI100" s="1"/>
    </row>
    <row r="101" spans="25:35" x14ac:dyDescent="0.3">
      <c r="Y101" s="1"/>
      <c r="Z101" s="1"/>
      <c r="AA101" s="1"/>
      <c r="AB101" s="1"/>
      <c r="AC101" s="1"/>
      <c r="AD101" s="1"/>
      <c r="AE101" s="1"/>
      <c r="AF101" s="1"/>
      <c r="AG101" s="1"/>
      <c r="AH101" s="1"/>
      <c r="AI101" s="1"/>
    </row>
    <row r="102" spans="25:35" x14ac:dyDescent="0.3">
      <c r="Y102" s="1"/>
      <c r="Z102" s="1"/>
      <c r="AA102" s="1"/>
      <c r="AB102" s="1"/>
      <c r="AC102" s="1"/>
      <c r="AD102" s="1"/>
      <c r="AE102" s="1"/>
      <c r="AF102" s="1"/>
      <c r="AG102" s="1"/>
      <c r="AH102" s="1"/>
      <c r="AI102" s="1"/>
    </row>
    <row r="103" spans="25:35" x14ac:dyDescent="0.3">
      <c r="Y103" s="1"/>
      <c r="Z103" s="1"/>
      <c r="AA103" s="1"/>
      <c r="AB103" s="1"/>
      <c r="AC103" s="1"/>
      <c r="AD103" s="1"/>
      <c r="AE103" s="1"/>
      <c r="AF103" s="1"/>
      <c r="AG103" s="1"/>
      <c r="AH103" s="1"/>
      <c r="AI103" s="1"/>
    </row>
    <row r="104" spans="25:35" x14ac:dyDescent="0.3">
      <c r="Y104" s="1"/>
      <c r="Z104" s="1"/>
      <c r="AA104" s="1"/>
      <c r="AB104" s="1"/>
      <c r="AC104" s="1"/>
      <c r="AD104" s="1"/>
      <c r="AE104" s="1"/>
      <c r="AF104" s="1"/>
      <c r="AG104" s="1"/>
      <c r="AH104" s="1"/>
      <c r="AI104" s="1"/>
    </row>
    <row r="105" spans="25:35" x14ac:dyDescent="0.3">
      <c r="Y105" s="1"/>
      <c r="Z105" s="1"/>
      <c r="AA105" s="1"/>
      <c r="AB105" s="1"/>
      <c r="AC105" s="1"/>
      <c r="AD105" s="1"/>
      <c r="AE105" s="1"/>
      <c r="AF105" s="1"/>
      <c r="AG105" s="1"/>
      <c r="AH105" s="1"/>
      <c r="AI105" s="1"/>
    </row>
    <row r="106" spans="25:35" x14ac:dyDescent="0.3">
      <c r="Y106" s="1"/>
      <c r="Z106" s="1"/>
      <c r="AA106" s="1"/>
      <c r="AB106" s="1"/>
      <c r="AC106" s="1"/>
      <c r="AD106" s="1"/>
      <c r="AE106" s="1"/>
      <c r="AF106" s="1"/>
      <c r="AG106" s="1"/>
      <c r="AH106" s="1"/>
      <c r="AI106" s="1"/>
    </row>
    <row r="107" spans="25:35" x14ac:dyDescent="0.3">
      <c r="Y107" s="1"/>
      <c r="Z107" s="1"/>
      <c r="AA107" s="1"/>
      <c r="AB107" s="1"/>
      <c r="AC107" s="1"/>
      <c r="AD107" s="1"/>
      <c r="AE107" s="1"/>
      <c r="AF107" s="1"/>
      <c r="AG107" s="1"/>
      <c r="AH107" s="1"/>
      <c r="AI107" s="1"/>
    </row>
    <row r="108" spans="25:35" x14ac:dyDescent="0.3">
      <c r="Y108" s="1"/>
      <c r="Z108" s="1"/>
      <c r="AA108" s="1"/>
      <c r="AB108" s="1"/>
      <c r="AC108" s="1"/>
      <c r="AD108" s="1"/>
      <c r="AE108" s="1"/>
      <c r="AF108" s="1"/>
      <c r="AG108" s="1"/>
      <c r="AH108" s="1"/>
      <c r="AI108" s="1"/>
    </row>
    <row r="109" spans="25:35" x14ac:dyDescent="0.3">
      <c r="Y109" s="1"/>
      <c r="Z109" s="1"/>
      <c r="AA109" s="1"/>
      <c r="AB109" s="1"/>
      <c r="AC109" s="1"/>
      <c r="AD109" s="1"/>
      <c r="AE109" s="1"/>
      <c r="AF109" s="1"/>
      <c r="AG109" s="1"/>
      <c r="AH109" s="1"/>
      <c r="AI109" s="1"/>
    </row>
    <row r="110" spans="25:35" x14ac:dyDescent="0.3">
      <c r="Y110" s="1"/>
      <c r="Z110" s="1"/>
      <c r="AA110" s="1"/>
      <c r="AB110" s="1"/>
      <c r="AC110" s="1"/>
      <c r="AD110" s="1"/>
      <c r="AE110" s="1"/>
      <c r="AF110" s="1"/>
      <c r="AG110" s="1"/>
      <c r="AH110" s="1"/>
      <c r="AI110" s="1"/>
    </row>
    <row r="111" spans="25:35" x14ac:dyDescent="0.3">
      <c r="Y111" s="1"/>
      <c r="Z111" s="1"/>
      <c r="AA111" s="1"/>
      <c r="AB111" s="1"/>
      <c r="AC111" s="1"/>
      <c r="AD111" s="1"/>
      <c r="AE111" s="1"/>
      <c r="AF111" s="1"/>
      <c r="AG111" s="1"/>
      <c r="AH111" s="1"/>
      <c r="AI111" s="1"/>
    </row>
    <row r="112" spans="25:35" x14ac:dyDescent="0.3">
      <c r="Y112" s="1"/>
      <c r="Z112" s="1"/>
      <c r="AA112" s="1"/>
      <c r="AB112" s="1"/>
      <c r="AC112" s="1"/>
      <c r="AD112" s="1"/>
      <c r="AE112" s="1"/>
      <c r="AF112" s="1"/>
      <c r="AG112" s="1"/>
      <c r="AH112" s="1"/>
      <c r="AI112" s="1"/>
    </row>
    <row r="113" spans="25:35" x14ac:dyDescent="0.3">
      <c r="Y113" s="1"/>
      <c r="Z113" s="1"/>
      <c r="AA113" s="1"/>
      <c r="AB113" s="1"/>
      <c r="AC113" s="1"/>
      <c r="AD113" s="1"/>
      <c r="AE113" s="1"/>
      <c r="AF113" s="1"/>
      <c r="AG113" s="1"/>
      <c r="AH113" s="1"/>
      <c r="AI113" s="1"/>
    </row>
    <row r="114" spans="25:35" x14ac:dyDescent="0.3">
      <c r="Y114" s="1"/>
      <c r="Z114" s="1"/>
      <c r="AA114" s="1"/>
      <c r="AB114" s="1"/>
      <c r="AC114" s="1"/>
      <c r="AD114" s="1"/>
      <c r="AE114" s="1"/>
      <c r="AF114" s="1"/>
      <c r="AG114" s="1"/>
      <c r="AH114" s="1"/>
      <c r="AI114" s="1"/>
    </row>
    <row r="115" spans="25:35" x14ac:dyDescent="0.3">
      <c r="Y115" s="1"/>
      <c r="Z115" s="1"/>
      <c r="AA115" s="1"/>
      <c r="AB115" s="1"/>
      <c r="AC115" s="1"/>
      <c r="AD115" s="1"/>
      <c r="AE115" s="1"/>
      <c r="AF115" s="1"/>
      <c r="AG115" s="1"/>
      <c r="AH115" s="1"/>
      <c r="AI115" s="1"/>
    </row>
    <row r="116" spans="25:35" x14ac:dyDescent="0.3">
      <c r="Y116" s="1"/>
      <c r="Z116" s="1"/>
      <c r="AA116" s="1"/>
      <c r="AB116" s="1"/>
      <c r="AC116" s="1"/>
      <c r="AD116" s="1"/>
      <c r="AE116" s="1"/>
      <c r="AF116" s="1"/>
      <c r="AG116" s="1"/>
      <c r="AH116" s="1"/>
      <c r="AI116" s="1"/>
    </row>
    <row r="117" spans="25:35" x14ac:dyDescent="0.3">
      <c r="Y117" s="1"/>
      <c r="Z117" s="1"/>
      <c r="AA117" s="1"/>
      <c r="AB117" s="1"/>
      <c r="AC117" s="1"/>
      <c r="AD117" s="1"/>
      <c r="AE117" s="1"/>
      <c r="AF117" s="1"/>
      <c r="AG117" s="1"/>
      <c r="AH117" s="1"/>
      <c r="AI117" s="1"/>
    </row>
    <row r="118" spans="25:35" x14ac:dyDescent="0.3">
      <c r="Y118" s="1"/>
      <c r="Z118" s="1"/>
      <c r="AA118" s="1"/>
      <c r="AB118" s="1"/>
      <c r="AC118" s="1"/>
      <c r="AD118" s="1"/>
      <c r="AE118" s="1"/>
      <c r="AF118" s="1"/>
      <c r="AG118" s="1"/>
      <c r="AH118" s="1"/>
      <c r="AI118" s="1"/>
    </row>
    <row r="119" spans="25:35" x14ac:dyDescent="0.3">
      <c r="Y119" s="1"/>
      <c r="Z119" s="1"/>
      <c r="AA119" s="1"/>
      <c r="AB119" s="1"/>
      <c r="AC119" s="1"/>
      <c r="AD119" s="1"/>
      <c r="AE119" s="1"/>
      <c r="AF119" s="1"/>
      <c r="AG119" s="1"/>
      <c r="AH119" s="1"/>
      <c r="AI119" s="1"/>
    </row>
    <row r="120" spans="25:35" x14ac:dyDescent="0.3">
      <c r="Y120" s="1"/>
      <c r="Z120" s="1"/>
      <c r="AA120" s="1"/>
      <c r="AB120" s="1"/>
      <c r="AC120" s="1"/>
      <c r="AD120" s="1"/>
      <c r="AE120" s="1"/>
      <c r="AF120" s="1"/>
      <c r="AG120" s="1"/>
      <c r="AH120" s="1"/>
      <c r="AI120" s="1"/>
    </row>
    <row r="121" spans="25:35" x14ac:dyDescent="0.3">
      <c r="Y121" s="1"/>
      <c r="Z121" s="1"/>
      <c r="AA121" s="1"/>
      <c r="AB121" s="1"/>
      <c r="AC121" s="1"/>
      <c r="AD121" s="1"/>
      <c r="AE121" s="1"/>
      <c r="AF121" s="1"/>
      <c r="AG121" s="1"/>
      <c r="AH121" s="1"/>
      <c r="AI121" s="1"/>
    </row>
    <row r="122" spans="25:35" x14ac:dyDescent="0.3">
      <c r="Y122" s="1"/>
      <c r="Z122" s="1"/>
      <c r="AA122" s="1"/>
      <c r="AB122" s="1"/>
      <c r="AC122" s="1"/>
      <c r="AD122" s="1"/>
      <c r="AE122" s="1"/>
      <c r="AF122" s="1"/>
      <c r="AG122" s="1"/>
      <c r="AH122" s="1"/>
      <c r="AI122" s="1"/>
    </row>
    <row r="123" spans="25:35" x14ac:dyDescent="0.3">
      <c r="Y123" s="1"/>
      <c r="Z123" s="1"/>
      <c r="AA123" s="1"/>
      <c r="AB123" s="1"/>
      <c r="AC123" s="1"/>
      <c r="AD123" s="1"/>
      <c r="AE123" s="1"/>
      <c r="AF123" s="1"/>
      <c r="AG123" s="1"/>
      <c r="AH123" s="1"/>
      <c r="AI123" s="1"/>
    </row>
    <row r="124" spans="25:35" x14ac:dyDescent="0.3">
      <c r="Y124" s="1"/>
      <c r="Z124" s="1"/>
      <c r="AA124" s="1"/>
      <c r="AB124" s="1"/>
      <c r="AC124" s="1"/>
      <c r="AD124" s="1"/>
      <c r="AE124" s="1"/>
      <c r="AF124" s="1"/>
      <c r="AG124" s="1"/>
      <c r="AH124" s="1"/>
      <c r="AI124" s="1"/>
    </row>
    <row r="125" spans="25:35" x14ac:dyDescent="0.3">
      <c r="Y125" s="1"/>
      <c r="Z125" s="1"/>
      <c r="AA125" s="1"/>
      <c r="AB125" s="1"/>
      <c r="AC125" s="1"/>
      <c r="AD125" s="1"/>
      <c r="AE125" s="1"/>
      <c r="AF125" s="1"/>
      <c r="AG125" s="1"/>
      <c r="AH125" s="1"/>
      <c r="AI125" s="1"/>
    </row>
    <row r="126" spans="25:35" x14ac:dyDescent="0.3">
      <c r="Y126" s="1"/>
      <c r="Z126" s="1"/>
      <c r="AA126" s="1"/>
      <c r="AB126" s="1"/>
      <c r="AC126" s="1"/>
      <c r="AD126" s="1"/>
      <c r="AE126" s="1"/>
      <c r="AF126" s="1"/>
      <c r="AG126" s="1"/>
      <c r="AH126" s="1"/>
      <c r="AI126" s="1"/>
    </row>
    <row r="127" spans="25:35" x14ac:dyDescent="0.3">
      <c r="Y127" s="1"/>
      <c r="Z127" s="1"/>
      <c r="AA127" s="1"/>
      <c r="AB127" s="1"/>
      <c r="AC127" s="1"/>
      <c r="AD127" s="1"/>
      <c r="AE127" s="1"/>
      <c r="AF127" s="1"/>
      <c r="AG127" s="1"/>
      <c r="AH127" s="1"/>
      <c r="AI127" s="1"/>
    </row>
    <row r="128" spans="25:35" x14ac:dyDescent="0.3">
      <c r="Y128" s="1"/>
      <c r="Z128" s="1"/>
      <c r="AA128" s="1"/>
      <c r="AB128" s="1"/>
      <c r="AC128" s="1"/>
      <c r="AD128" s="1"/>
      <c r="AE128" s="1"/>
      <c r="AF128" s="1"/>
      <c r="AG128" s="1"/>
      <c r="AH128" s="1"/>
      <c r="AI128" s="1"/>
    </row>
    <row r="129" spans="25:35" x14ac:dyDescent="0.3">
      <c r="Y129" s="1"/>
      <c r="Z129" s="1"/>
      <c r="AA129" s="1"/>
      <c r="AB129" s="1"/>
      <c r="AC129" s="1"/>
      <c r="AD129" s="1"/>
      <c r="AE129" s="1"/>
      <c r="AF129" s="1"/>
      <c r="AG129" s="1"/>
      <c r="AH129" s="1"/>
      <c r="AI129" s="1"/>
    </row>
    <row r="130" spans="25:35" x14ac:dyDescent="0.3">
      <c r="Y130" s="1"/>
      <c r="Z130" s="1"/>
      <c r="AA130" s="1"/>
      <c r="AB130" s="1"/>
      <c r="AC130" s="1"/>
      <c r="AD130" s="1"/>
      <c r="AE130" s="1"/>
      <c r="AF130" s="1"/>
      <c r="AG130" s="1"/>
      <c r="AH130" s="1"/>
      <c r="AI130" s="1"/>
    </row>
    <row r="131" spans="25:35" x14ac:dyDescent="0.3">
      <c r="Y131" s="1"/>
      <c r="Z131" s="1"/>
      <c r="AA131" s="1"/>
      <c r="AB131" s="1"/>
      <c r="AC131" s="1"/>
      <c r="AD131" s="1"/>
      <c r="AE131" s="1"/>
      <c r="AF131" s="1"/>
      <c r="AG131" s="1"/>
      <c r="AH131" s="1"/>
      <c r="AI131" s="1"/>
    </row>
    <row r="132" spans="25:35" x14ac:dyDescent="0.3">
      <c r="Y132" s="1"/>
      <c r="Z132" s="1"/>
      <c r="AA132" s="1"/>
      <c r="AB132" s="1"/>
      <c r="AC132" s="1"/>
      <c r="AD132" s="1"/>
      <c r="AE132" s="1"/>
      <c r="AF132" s="1"/>
      <c r="AG132" s="1"/>
      <c r="AH132" s="1"/>
      <c r="AI132" s="1"/>
    </row>
    <row r="133" spans="25:35" x14ac:dyDescent="0.3">
      <c r="Y133" s="1"/>
      <c r="Z133" s="1"/>
      <c r="AA133" s="1"/>
      <c r="AB133" s="1"/>
      <c r="AC133" s="1"/>
      <c r="AD133" s="1"/>
      <c r="AE133" s="1"/>
      <c r="AF133" s="1"/>
      <c r="AG133" s="1"/>
      <c r="AH133" s="1"/>
      <c r="AI133" s="1"/>
    </row>
    <row r="134" spans="25:35" x14ac:dyDescent="0.3">
      <c r="Y134" s="1"/>
      <c r="Z134" s="1"/>
      <c r="AA134" s="1"/>
      <c r="AB134" s="1"/>
      <c r="AC134" s="1"/>
      <c r="AD134" s="1"/>
      <c r="AE134" s="1"/>
      <c r="AF134" s="1"/>
      <c r="AG134" s="1"/>
      <c r="AH134" s="1"/>
      <c r="AI134" s="1"/>
    </row>
    <row r="135" spans="25:35" x14ac:dyDescent="0.3">
      <c r="Y135" s="1"/>
      <c r="Z135" s="1"/>
      <c r="AA135" s="1"/>
      <c r="AB135" s="1"/>
      <c r="AC135" s="1"/>
      <c r="AD135" s="1"/>
      <c r="AE135" s="1"/>
      <c r="AF135" s="1"/>
      <c r="AG135" s="1"/>
      <c r="AH135" s="1"/>
      <c r="AI135" s="1"/>
    </row>
    <row r="136" spans="25:35" x14ac:dyDescent="0.3">
      <c r="Y136" s="1"/>
      <c r="Z136" s="1"/>
      <c r="AA136" s="1"/>
      <c r="AB136" s="1"/>
      <c r="AC136" s="1"/>
      <c r="AD136" s="1"/>
      <c r="AE136" s="1"/>
      <c r="AF136" s="1"/>
      <c r="AG136" s="1"/>
      <c r="AH136" s="1"/>
      <c r="AI136"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98728EB-E539-4978-A6E0-0E9AA3D82250}">
  <ds:schemaRefs/>
</ds:datastoreItem>
</file>

<file path=customXml/itemProps2.xml><?xml version="1.0" encoding="utf-8"?>
<ds:datastoreItem xmlns:ds="http://schemas.openxmlformats.org/officeDocument/2006/customXml" ds:itemID="{B5466957-614C-4733-BBC8-4EF554D4FA97}">
  <ds:schemaRefs>
    <ds:schemaRef ds:uri="http://schemas.microsoft.com/DataMashup"/>
  </ds:schemaRefs>
</ds:datastoreItem>
</file>

<file path=customXml/itemProps3.xml><?xml version="1.0" encoding="utf-8"?>
<ds:datastoreItem xmlns:ds="http://schemas.openxmlformats.org/officeDocument/2006/customXml" ds:itemID="{0B7B0FA4-F9C6-4BBD-A35C-E6D9ABC05215}">
  <ds:schemaRefs/>
</ds:datastoreItem>
</file>

<file path=customXml/itemProps4.xml><?xml version="1.0" encoding="utf-8"?>
<ds:datastoreItem xmlns:ds="http://schemas.openxmlformats.org/officeDocument/2006/customXml" ds:itemID="{186A8F68-5571-4EC2-B70D-A3CE5D7B871D}">
  <ds:schemaRefs/>
</ds:datastoreItem>
</file>

<file path=customXml/itemProps5.xml><?xml version="1.0" encoding="utf-8"?>
<ds:datastoreItem xmlns:ds="http://schemas.openxmlformats.org/officeDocument/2006/customXml" ds:itemID="{C599AC5D-C192-4456-9B3E-600F1FE8918E}">
  <ds:schemaRefs/>
</ds:datastoreItem>
</file>

<file path=customXml/itemProps6.xml><?xml version="1.0" encoding="utf-8"?>
<ds:datastoreItem xmlns:ds="http://schemas.openxmlformats.org/officeDocument/2006/customXml" ds:itemID="{449E9BE9-7752-44A4-9720-29C4C613B260}">
  <ds:schemaRefs/>
</ds:datastoreItem>
</file>

<file path=customXml/itemProps7.xml><?xml version="1.0" encoding="utf-8"?>
<ds:datastoreItem xmlns:ds="http://schemas.openxmlformats.org/officeDocument/2006/customXml" ds:itemID="{3226524B-2738-4F18-B648-A1B85106B077}">
  <ds:schemaRefs/>
</ds:datastoreItem>
</file>

<file path=customXml/itemProps8.xml><?xml version="1.0" encoding="utf-8"?>
<ds:datastoreItem xmlns:ds="http://schemas.openxmlformats.org/officeDocument/2006/customXml" ds:itemID="{D467D7B5-BAA8-405D-A314-C4BC87AFCE14}">
  <ds:schemaRefs/>
</ds:datastoreItem>
</file>

<file path=customXml/itemProps9.xml><?xml version="1.0" encoding="utf-8"?>
<ds:datastoreItem xmlns:ds="http://schemas.openxmlformats.org/officeDocument/2006/customXml" ds:itemID="{BA369B13-ACFA-4E8C-8F9B-6CE99B9F4ABE}">
  <ds:schemaRefs/>
</ds:datastoreItem>
</file>

<file path=customXml/itemProps10.xml><?xml version="1.0" encoding="utf-8"?>
<ds:datastoreItem xmlns:ds="http://schemas.openxmlformats.org/officeDocument/2006/customXml" ds:itemID="{98FD4522-E0F7-4B4E-99D4-7AD1352BB7C6}">
  <ds:schemaRefs/>
</ds:datastoreItem>
</file>

<file path=customXml/itemProps11.xml><?xml version="1.0" encoding="utf-8"?>
<ds:datastoreItem xmlns:ds="http://schemas.openxmlformats.org/officeDocument/2006/customXml" ds:itemID="{372D5107-C7BE-4B1D-944C-E33954D26006}">
  <ds:schemaRefs/>
</ds:datastoreItem>
</file>

<file path=customXml/itemProps12.xml><?xml version="1.0" encoding="utf-8"?>
<ds:datastoreItem xmlns:ds="http://schemas.openxmlformats.org/officeDocument/2006/customXml" ds:itemID="{9D864030-90CF-4E94-B08F-FC803CDA7819}">
  <ds:schemaRefs/>
</ds:datastoreItem>
</file>

<file path=customXml/itemProps13.xml><?xml version="1.0" encoding="utf-8"?>
<ds:datastoreItem xmlns:ds="http://schemas.openxmlformats.org/officeDocument/2006/customXml" ds:itemID="{40DEE6A8-8046-4051-84BE-C37913D08E05}">
  <ds:schemaRefs/>
</ds:datastoreItem>
</file>

<file path=customXml/itemProps14.xml><?xml version="1.0" encoding="utf-8"?>
<ds:datastoreItem xmlns:ds="http://schemas.openxmlformats.org/officeDocument/2006/customXml" ds:itemID="{88EADB5D-BBE0-40CE-A2BF-1F7133160751}">
  <ds:schemaRefs/>
</ds:datastoreItem>
</file>

<file path=customXml/itemProps15.xml><?xml version="1.0" encoding="utf-8"?>
<ds:datastoreItem xmlns:ds="http://schemas.openxmlformats.org/officeDocument/2006/customXml" ds:itemID="{18FF4E43-28F0-4B80-8383-63BA0752C2D6}">
  <ds:schemaRefs/>
</ds:datastoreItem>
</file>

<file path=customXml/itemProps16.xml><?xml version="1.0" encoding="utf-8"?>
<ds:datastoreItem xmlns:ds="http://schemas.openxmlformats.org/officeDocument/2006/customXml" ds:itemID="{083FEFA6-AFFC-4DF5-A3FB-61DAAF5661E9}">
  <ds:schemaRefs/>
</ds:datastoreItem>
</file>

<file path=customXml/itemProps17.xml><?xml version="1.0" encoding="utf-8"?>
<ds:datastoreItem xmlns:ds="http://schemas.openxmlformats.org/officeDocument/2006/customXml" ds:itemID="{128896FA-5ADB-41C2-A24C-EA1977047D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SALE_TABLE</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swapnildekate02@gmail.com</cp:lastModifiedBy>
  <cp:lastPrinted>2026-06-01T08:32:35Z</cp:lastPrinted>
  <dcterms:created xsi:type="dcterms:W3CDTF">2026-05-26T08:29:30Z</dcterms:created>
  <dcterms:modified xsi:type="dcterms:W3CDTF">2026-06-01T10:16:36Z</dcterms:modified>
</cp:coreProperties>
</file>